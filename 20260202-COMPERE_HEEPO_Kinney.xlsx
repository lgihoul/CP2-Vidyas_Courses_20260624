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Tables/pivotTable2.xml" ContentType="application/vnd.openxmlformats-officedocument.spreadsheetml.pivotTabl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Records2.xml" ContentType="application/vnd.openxmlformats-officedocument.spreadsheetml.pivotCacheRecord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olivi\Desktop\"/>
    </mc:Choice>
  </mc:AlternateContent>
  <xr:revisionPtr revIDLastSave="0" documentId="8_{5FEBB1DF-3A58-4A3E-8247-4650736264B8}" xr6:coauthVersionLast="47" xr6:coauthVersionMax="47" xr10:uidLastSave="{00000000-0000-0000-0000-000000000000}"/>
  <bookViews>
    <workbookView xWindow="-98" yWindow="-98" windowWidth="19396" windowHeight="11475" firstSheet="3" activeTab="4" xr2:uid="{50A22FC5-EB97-4455-BB66-1816FC496C3A}"/>
  </bookViews>
  <sheets>
    <sheet name="Risques recencés par danger" sheetId="10" r:id="rId1"/>
    <sheet name="Grille de prévention" sheetId="11" r:id="rId2"/>
    <sheet name="PGP  PAA" sheetId="12" r:id="rId3"/>
    <sheet name="ASAP" sheetId="13" r:id="rId4"/>
    <sheet name="I&amp;ER" sheetId="1" r:id="rId5"/>
    <sheet name="Userguide" sheetId="9" r:id="rId6"/>
    <sheet name="Kinney Risque =" sheetId="4" r:id="rId7"/>
    <sheet name="Kinney Gravité x " sheetId="5" r:id="rId8"/>
    <sheet name="Probabilte x " sheetId="6" r:id="rId9"/>
    <sheet name="Exposition" sheetId="7" r:id="rId10"/>
    <sheet name="Acteurs" sheetId="3" r:id="rId11"/>
    <sheet name="Niveau prevention" sheetId="2" r:id="rId12"/>
    <sheet name="Dangers" sheetId="8" r:id="rId13"/>
  </sheets>
  <definedNames>
    <definedName name="_xlnm._FilterDatabase" localSheetId="4" hidden="1">'I&amp;ER'!$A$1:$AD$200</definedName>
  </definedNames>
  <calcPr calcId="191029"/>
  <pivotCaches>
    <pivotCache cacheId="0" r:id="rId14"/>
    <pivotCache cacheId="1" r:id="rId15"/>
    <pivotCache cacheId="2"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L3"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Q2" i="1"/>
  <c r="L2" i="1"/>
</calcChain>
</file>

<file path=xl/sharedStrings.xml><?xml version="1.0" encoding="utf-8"?>
<sst xmlns="http://schemas.openxmlformats.org/spreadsheetml/2006/main" count="647" uniqueCount="340">
  <si>
    <t>niveau prévention</t>
  </si>
  <si>
    <t>Catégorie acteur</t>
  </si>
  <si>
    <t>Mesures de prévention 2</t>
  </si>
  <si>
    <t>Voies encombrées</t>
  </si>
  <si>
    <t>Organiser les espaces de stockage</t>
  </si>
  <si>
    <t>Danger</t>
  </si>
  <si>
    <t>Risques</t>
  </si>
  <si>
    <t>Brûlures, augmentation des dégats</t>
  </si>
  <si>
    <t>Niveau_prevention</t>
  </si>
  <si>
    <t>Primaire</t>
  </si>
  <si>
    <t>Secondaire</t>
  </si>
  <si>
    <t>Tertiaire</t>
  </si>
  <si>
    <t>Acteurs</t>
  </si>
  <si>
    <t>Employeur</t>
  </si>
  <si>
    <t>Ligne hiérarchique</t>
  </si>
  <si>
    <t>Travailleurs</t>
  </si>
  <si>
    <t>Prévention</t>
  </si>
  <si>
    <t>Concertation</t>
  </si>
  <si>
    <t>&gt; 400</t>
  </si>
  <si>
    <t>200 - 400</t>
  </si>
  <si>
    <t>70 - 200</t>
  </si>
  <si>
    <t>20 - 70</t>
  </si>
  <si>
    <t>&lt; 20</t>
  </si>
  <si>
    <t>Score de Risque</t>
  </si>
  <si>
    <t>Actions</t>
  </si>
  <si>
    <t>Risque élevé</t>
  </si>
  <si>
    <t>Risque important</t>
  </si>
  <si>
    <t>Risque potentiel</t>
  </si>
  <si>
    <t>Risque léger</t>
  </si>
  <si>
    <t>R = G x P x F</t>
  </si>
  <si>
    <t>Risque très élevé</t>
  </si>
  <si>
    <r>
      <rPr>
        <b/>
        <sz val="11"/>
        <color rgb="FFFF0000"/>
        <rFont val="Calibri"/>
        <family val="2"/>
        <scheme val="minor"/>
      </rPr>
      <t>Arrêt des activités</t>
    </r>
    <r>
      <rPr>
        <sz val="11"/>
        <color theme="1"/>
        <rFont val="Calibri"/>
        <family val="2"/>
        <scheme val="minor"/>
      </rPr>
      <t xml:space="preserve"> / les activités doivent être suspendues jusqu'à ce que le risque ait été suffisamment réduit. Une intervention immédiate s'impose absolument.
Avec ce type de valeur, aucun risque résiduel n'est toléré.</t>
    </r>
  </si>
  <si>
    <r>
      <rPr>
        <b/>
        <sz val="11"/>
        <color rgb="FFFF0000"/>
        <rFont val="Calibri"/>
        <family val="2"/>
        <scheme val="minor"/>
      </rPr>
      <t>Réduction immédiate</t>
    </r>
    <r>
      <rPr>
        <sz val="11"/>
        <color theme="1"/>
        <rFont val="Calibri"/>
        <family val="2"/>
        <scheme val="minor"/>
      </rPr>
      <t xml:space="preserve"> / la situation est suffisamment urgente pour nécessiter une action rapide. Une amélioration sur-le-champ est impérative.
Avec ce type de valeur, aucun risque résiduel n'est toléré.</t>
    </r>
  </si>
  <si>
    <r>
      <rPr>
        <b/>
        <sz val="11"/>
        <color theme="5" tint="-0.249977111117893"/>
        <rFont val="Calibri"/>
        <family val="2"/>
        <scheme val="minor"/>
      </rPr>
      <t>Réduction du risque</t>
    </r>
    <r>
      <rPr>
        <sz val="11"/>
        <color theme="1"/>
        <rFont val="Calibri"/>
        <family val="2"/>
        <scheme val="minor"/>
      </rPr>
      <t xml:space="preserve"> / le danger doit être levé, mais il ne s'agit pas d'une situation d'urgence. Une amélioration est requise, de préférence par le biais de mesures
Avec de telles valeurs, les risques résiduels entrent en ligne de compte dans le cadre de l'amélioration et seront intégrés aux plans d'action. techniques.</t>
    </r>
  </si>
  <si>
    <r>
      <rPr>
        <b/>
        <sz val="11"/>
        <color theme="5" tint="-0.249977111117893"/>
        <rFont val="Calibri"/>
        <family val="2"/>
        <scheme val="minor"/>
      </rPr>
      <t>Une certaine attention est requise</t>
    </r>
    <r>
      <rPr>
        <sz val="11"/>
        <color theme="1"/>
        <rFont val="Calibri"/>
        <family val="2"/>
        <scheme val="minor"/>
      </rPr>
      <t>.
Avec de telles valeurs, les risques résiduels entrent en ligne de compte pour la prise de mesures. Il s'agira de préférence de mesures techniques, mais il est éventuellement possible de prendre également des mesures organisationnelles, par exemple au niveau de la communication interne par le biais d'instructions, de réunions de démarrage des travaux, de toolbox meetings (attention: il convient de toujours respecter la hiérarchie de prévention).</t>
    </r>
  </si>
  <si>
    <r>
      <rPr>
        <b/>
        <sz val="11"/>
        <color rgb="FF00B050"/>
        <rFont val="Calibri"/>
        <family val="2"/>
        <scheme val="minor"/>
      </rPr>
      <t>Aucune mesure directe urgente complémentaire n'est requise</t>
    </r>
    <r>
      <rPr>
        <sz val="11"/>
        <color theme="1"/>
        <rFont val="Calibri"/>
        <family val="2"/>
        <scheme val="minor"/>
      </rPr>
      <t>. Le risque est acceptable.
Avec de telles valeurs, les risques résiduels sont gardés à l'œil mais ne sont pas prioritaires. Si vous octroyez cette valeur, attention à ce que les risques ne s'aggravent pas subitement pas parce que vous les avez sous-estimés.</t>
    </r>
  </si>
  <si>
    <t>Gravite</t>
  </si>
  <si>
    <t>Désastre, catastrophe, nombreux morts</t>
  </si>
  <si>
    <t>Pertes supérieure à €2.500.000 ou arrêt des activités</t>
  </si>
  <si>
    <t>Lésions</t>
  </si>
  <si>
    <t>Dégats</t>
  </si>
  <si>
    <t>Malheur, quelques morts</t>
  </si>
  <si>
    <t>Accident très grave, mort ou incapacigté permanente</t>
  </si>
  <si>
    <t>Accident grave, dommage important, blessures sécères</t>
  </si>
  <si>
    <t>Accident important, arrêt de travail</t>
  </si>
  <si>
    <t>Incident, évènement significatif</t>
  </si>
  <si>
    <t>Pertes entre €250.000 et €2.500.000</t>
  </si>
  <si>
    <t>Pertes entre €125.000 et €250.000</t>
  </si>
  <si>
    <t>Pertes entre €2.500 et €125.000</t>
  </si>
  <si>
    <t>Pertes entre €250 et €2.500</t>
  </si>
  <si>
    <t>Pertes inférieures à €250</t>
  </si>
  <si>
    <t>Probabilite</t>
  </si>
  <si>
    <t>Vraisemblable, quasi certain.  Les conséquences présentent une très grande probabilité d'occurrence</t>
  </si>
  <si>
    <t>Parfaitement possible.  Ce en serait pas inhabituel, la probabilité est évaluée à 50/50</t>
  </si>
  <si>
    <t>Inhanituel, mais possible.  Ce serait toutefois une évolution plutôt peu ordinaire</t>
  </si>
  <si>
    <t>Possible dans un cas limite.  Uniquement possible à long terme.  Ce serait toutefois une évolutioon improbables des occurrences</t>
  </si>
  <si>
    <t>Peu imaginable, mais néanmoins pas exclus.  Cela ne s'est jamais produit depuis plusieurs années</t>
  </si>
  <si>
    <t>Pratiquement impossible</t>
  </si>
  <si>
    <t>Virtuellement impossible</t>
  </si>
  <si>
    <t>Exposition</t>
  </si>
  <si>
    <t>Constante, permanente</t>
  </si>
  <si>
    <t>Quotidienne, durant les heures de travail (au moins une fois par jour)</t>
  </si>
  <si>
    <t>Occasionnelle (une fois par semaine)</t>
  </si>
  <si>
    <t>Inhabituelle (une fois par mois)</t>
  </si>
  <si>
    <t>Rare (quelques fois par an)</t>
  </si>
  <si>
    <t>Très rare (une fois par an)</t>
  </si>
  <si>
    <t>Correspondance</t>
  </si>
  <si>
    <t>Incendie</t>
  </si>
  <si>
    <t>Causes</t>
  </si>
  <si>
    <t>PGP</t>
  </si>
  <si>
    <t>PAA</t>
  </si>
  <si>
    <t>Qui</t>
  </si>
  <si>
    <t>Quoi</t>
  </si>
  <si>
    <t>Quand</t>
  </si>
  <si>
    <t>Budget</t>
  </si>
  <si>
    <t>Avis / Accord CPPT</t>
  </si>
  <si>
    <t>Avis SIPPT</t>
  </si>
  <si>
    <t>Clôture</t>
  </si>
  <si>
    <t>Dangers</t>
  </si>
  <si>
    <t>Explosion</t>
  </si>
  <si>
    <t>Chute objets</t>
  </si>
  <si>
    <t>Chute de personne, en hauteur</t>
  </si>
  <si>
    <t>Chute de personne, de plein pied</t>
  </si>
  <si>
    <t>Projection d'objet</t>
  </si>
  <si>
    <t>Bruit</t>
  </si>
  <si>
    <t>Vibration</t>
  </si>
  <si>
    <t>Froid climatique</t>
  </si>
  <si>
    <t>Chaleur climatique</t>
  </si>
  <si>
    <t>Chaleur industrielle</t>
  </si>
  <si>
    <t>Froid industriel</t>
  </si>
  <si>
    <t>Mauvaise aération</t>
  </si>
  <si>
    <t>Mauvaise ventilation</t>
  </si>
  <si>
    <t>Contamination par agent biologique</t>
  </si>
  <si>
    <t>Inhalation de substances dangereuses</t>
  </si>
  <si>
    <t>Ingestion de substances dangereuses</t>
  </si>
  <si>
    <t>Contact cutané avec des substances dangereuses</t>
  </si>
  <si>
    <t>Exposition à des substances cancérogènes</t>
  </si>
  <si>
    <t>Exposition à de ssubstances mutagènes</t>
  </si>
  <si>
    <t>Exposition à des substances reprotoxiques</t>
  </si>
  <si>
    <t>Influence de l'alcool</t>
  </si>
  <si>
    <t>Influence de la drogue</t>
  </si>
  <si>
    <t>Influence de médicaments</t>
  </si>
  <si>
    <t>Mauvaise ambiance thermique</t>
  </si>
  <si>
    <t>Désordre sur les lieux de travail</t>
  </si>
  <si>
    <t>Mauvais aménagement des lieux de travail</t>
  </si>
  <si>
    <t>Présence de récipients ou d'installation sous pression</t>
  </si>
  <si>
    <t>Présence de vapeur</t>
  </si>
  <si>
    <t>Stabilité des équipements de travail</t>
  </si>
  <si>
    <t>Présence de champs électromagnétique</t>
  </si>
  <si>
    <t>Présence de radiations ionisantes</t>
  </si>
  <si>
    <t>Présence de source laser</t>
  </si>
  <si>
    <t>Présence de radiations non-ionisantes</t>
  </si>
  <si>
    <t>Travail debout prolongé</t>
  </si>
  <si>
    <t>Travail assis prolongé</t>
  </si>
  <si>
    <t>Manipulation manuelle de charge, au dessus des épaules</t>
  </si>
  <si>
    <t>Manipulation manuelle de charge</t>
  </si>
  <si>
    <t>utilsation de charge statique</t>
  </si>
  <si>
    <t>Présence de produits comburant</t>
  </si>
  <si>
    <t>Présence de produits inflammables</t>
  </si>
  <si>
    <t>Présence de source de chaleur, ignition d'un feu ou d'une explosion</t>
  </si>
  <si>
    <t>Présence d'amiante</t>
  </si>
  <si>
    <t>Présence de plan d'eau</t>
  </si>
  <si>
    <t>Utilisation de récipients sous pression</t>
  </si>
  <si>
    <t>Mauvaise voie d'évacuation</t>
  </si>
  <si>
    <t>Absence de moyens de premiers secours</t>
  </si>
  <si>
    <t>Mauvaise signalisation sur les lieux de travail</t>
  </si>
  <si>
    <t>Travail à domicile</t>
  </si>
  <si>
    <t>Voie de circulation dangereuse</t>
  </si>
  <si>
    <t>Augmentation significative du stress</t>
  </si>
  <si>
    <t>Augmentation des conflits</t>
  </si>
  <si>
    <t>Mauvaise qualité du travail</t>
  </si>
  <si>
    <t>Mauvaise organisation du travail</t>
  </si>
  <si>
    <t>contexte social difficile</t>
  </si>
  <si>
    <t>Présence de charge électrostatique</t>
  </si>
  <si>
    <t>Utilisation d'engins dangereux</t>
  </si>
  <si>
    <t>Utilisation d'engins de levage de charge</t>
  </si>
  <si>
    <t>Utilisation d'échaffaudage</t>
  </si>
  <si>
    <t>Utilisation d'échelle</t>
  </si>
  <si>
    <t>Mauvais équipements de protection individuelles</t>
  </si>
  <si>
    <t>Non respect des mesures de sécurité</t>
  </si>
  <si>
    <t>Mauvaise culture de sécurité</t>
  </si>
  <si>
    <t>Contact direct avec de l'électricité possible</t>
  </si>
  <si>
    <t>Contact indirect avec de l'électricité possible</t>
  </si>
  <si>
    <t>Activité en espace confiné</t>
  </si>
  <si>
    <t>Mauvaise gestion des co-activité</t>
  </si>
  <si>
    <t>Mauvais écrans de visualisation ou de surveillance</t>
  </si>
  <si>
    <t>Accès difficiles au acteurs de la prévention</t>
  </si>
  <si>
    <t>Relations difficiles avec le ou les sous-traitants</t>
  </si>
  <si>
    <t>Non respect des contrôles des équipements ou des installations dangereuses</t>
  </si>
  <si>
    <t>Présence d'humidité</t>
  </si>
  <si>
    <t>Mauvaise gestion des denrées alimentaires</t>
  </si>
  <si>
    <t>Eau non potable</t>
  </si>
  <si>
    <t>Présence de légionelle</t>
  </si>
  <si>
    <t>Mauvais éclairage</t>
  </si>
  <si>
    <t>Coupure des membres possible</t>
  </si>
  <si>
    <t>Ecrasement des membres possible</t>
  </si>
  <si>
    <t>Entraienement des membres possible</t>
  </si>
  <si>
    <t>SEC</t>
  </si>
  <si>
    <t>PSY</t>
  </si>
  <si>
    <t>HYG</t>
  </si>
  <si>
    <t>ERGO</t>
  </si>
  <si>
    <t>SANTE</t>
  </si>
  <si>
    <t>ENV</t>
  </si>
  <si>
    <t>Rafales de vent</t>
  </si>
  <si>
    <t>Présence d'enfants</t>
  </si>
  <si>
    <t>Présence de travailleur mineur</t>
  </si>
  <si>
    <t>Présence de personne agées</t>
  </si>
  <si>
    <t>Présence de personne ne comprenant la langue du pays</t>
  </si>
  <si>
    <t>Présence de personne PMR</t>
  </si>
  <si>
    <t>Activités en situation hyperbare et immersion</t>
  </si>
  <si>
    <t>Activités en situation hyperbare</t>
  </si>
  <si>
    <t>Présence de femmes enceinte ou allaitantes</t>
  </si>
  <si>
    <t>Difficultés avec le concept de l'égalité des chances</t>
  </si>
  <si>
    <t>Rumeurs sociales</t>
  </si>
  <si>
    <t>Mauvaise protection incendie</t>
  </si>
  <si>
    <t>Harcèlement physique</t>
  </si>
  <si>
    <t>Harcèlement moral</t>
  </si>
  <si>
    <t>Violence physique</t>
  </si>
  <si>
    <t>Violence morale</t>
  </si>
  <si>
    <t>Mauvais accueil des travailleurs</t>
  </si>
  <si>
    <t>Absnece d'analyse de risque au niveau du poste de travail</t>
  </si>
  <si>
    <t>Absnece d'analyse de risque de dernière minute</t>
  </si>
  <si>
    <t>Absence d'analyse de risque au niveau d'une situation de travail</t>
  </si>
  <si>
    <t>Présence d'installation frigoriphique</t>
  </si>
  <si>
    <t>Emploi de travailleur intérimaire</t>
  </si>
  <si>
    <t>Circulation routière</t>
  </si>
  <si>
    <t>Organisation d'évènements ponctuels</t>
  </si>
  <si>
    <t>Position incorrecte des commandes</t>
  </si>
  <si>
    <t>Surface dangereuse</t>
  </si>
  <si>
    <t>Espace limité</t>
  </si>
  <si>
    <t>Asphyxie</t>
  </si>
  <si>
    <t>Fuite d'oxygène</t>
  </si>
  <si>
    <t>Rayonnement lumineux</t>
  </si>
  <si>
    <t>Présence de micro-ondes</t>
  </si>
  <si>
    <t>Mauvaise mise à la terre</t>
  </si>
  <si>
    <t>Droit à la rupture</t>
  </si>
  <si>
    <t>Démotivation du personnel</t>
  </si>
  <si>
    <t>Tabagisme</t>
  </si>
  <si>
    <t>Non respect des temps de repos ou des pauses</t>
  </si>
  <si>
    <t>Non respect de la mise à disposition des équipements sociaux</t>
  </si>
  <si>
    <t>Emploi de travaileur isolé</t>
  </si>
  <si>
    <t>Emploi de travailleur agé</t>
  </si>
  <si>
    <t>Travaux d'excavation</t>
  </si>
  <si>
    <t>Travaux de terrassement</t>
  </si>
  <si>
    <t>Travaux de démolition</t>
  </si>
  <si>
    <t>Travaux sur voirie</t>
  </si>
  <si>
    <t>Mauvaise politique d'achat</t>
  </si>
  <si>
    <t>Présence d'UV</t>
  </si>
  <si>
    <t>Présence d'IR</t>
  </si>
  <si>
    <t>X</t>
  </si>
  <si>
    <t>De se trébucher, de se blesser</t>
  </si>
  <si>
    <t>Libérer les voies d'évacuattion</t>
  </si>
  <si>
    <t>OUI</t>
  </si>
  <si>
    <t>NOW</t>
  </si>
  <si>
    <t>NON</t>
  </si>
  <si>
    <t>Resosurces matériel</t>
  </si>
  <si>
    <t>Achat des armoire, réorganisation des locaux</t>
  </si>
  <si>
    <t>Etude ergonomique, étude NWOW</t>
  </si>
  <si>
    <t>Réunion techique, participation des travailleurs, avis sur l'avant-projet</t>
  </si>
  <si>
    <t>Tout le monde</t>
  </si>
  <si>
    <t>Dégager tout ce qui n'est pas utile</t>
  </si>
  <si>
    <t>Mise en place de poubelle, tri des déchets, évacuation des déchets</t>
  </si>
  <si>
    <t>Attention au TMS</t>
  </si>
  <si>
    <t>Pas d'avis à demander, présentation des résultats</t>
  </si>
  <si>
    <t>Colonne A</t>
  </si>
  <si>
    <t>Colonne B</t>
  </si>
  <si>
    <t>Colonne C</t>
  </si>
  <si>
    <t>Colonne D</t>
  </si>
  <si>
    <t>Colonne E</t>
  </si>
  <si>
    <t>Colonne F</t>
  </si>
  <si>
    <t>Colonne G</t>
  </si>
  <si>
    <t>Colonne H</t>
  </si>
  <si>
    <t>Colonne I</t>
  </si>
  <si>
    <t>Colonne J</t>
  </si>
  <si>
    <t>Colonne K</t>
  </si>
  <si>
    <t>Colonne L</t>
  </si>
  <si>
    <t>Colonne M</t>
  </si>
  <si>
    <t>Colonne N</t>
  </si>
  <si>
    <t>Colonne O</t>
  </si>
  <si>
    <t>Colonne P</t>
  </si>
  <si>
    <t>Colonne Q</t>
  </si>
  <si>
    <t>Colonne R</t>
  </si>
  <si>
    <t>Colonne S</t>
  </si>
  <si>
    <t>Colonne T</t>
  </si>
  <si>
    <t>Colonne U</t>
  </si>
  <si>
    <t>Colonne V</t>
  </si>
  <si>
    <t>Liste des dangers potentiels habituellement reconnus.  Cette liste "force" le choix d'un de ces risques, et permettra un classement et un tri rationnel</t>
  </si>
  <si>
    <t>Risque</t>
  </si>
  <si>
    <t>Acteur</t>
  </si>
  <si>
    <t>Niveau prévention</t>
  </si>
  <si>
    <t>Il ne faut rien rentrer dans cette case</t>
  </si>
  <si>
    <t>Score de risque, basé sur un calcul automatique des facteurs "Gravité", "Exposition" et "fréquence".  En outre, la couleur de la case change en fonction des résultats.  Noir, rouge, orange et vert en fonction de l'intensité du risque</t>
  </si>
  <si>
    <t>Evaluation Kinney - Risque</t>
  </si>
  <si>
    <t>Evaluation Kinney - Gravité</t>
  </si>
  <si>
    <t>Les valeurs sont suggérées afin de garantir une uniformité et une cohérence dans l'évaluation</t>
  </si>
  <si>
    <t>Sélectionner une valeur</t>
  </si>
  <si>
    <t>Evaluation Kinney - Exposition</t>
  </si>
  <si>
    <t>Evaluation Kinney - Fréquence</t>
  </si>
  <si>
    <t>I&amp;ER : Inventaire et évalation des risques</t>
  </si>
  <si>
    <t>Grille de travail et situation des risques au sein de l'entreprise.  Il reprend également le suivi des actions et l'intégration des mesures de prévention dans le PGP et le PAA</t>
  </si>
  <si>
    <t>Userguide</t>
  </si>
  <si>
    <t>Explique comment le fichier fonctionne</t>
  </si>
  <si>
    <t>Mesures de prévention</t>
  </si>
  <si>
    <t>Mesures nécessaire afi de réduire l'exposition et/ou la gravité, en tenant compte d'une part de la hiérarchie des mesures de prévention et d'autre part la portée de ces mesures</t>
  </si>
  <si>
    <t>Réévaluation Kinney - Risque</t>
  </si>
  <si>
    <t>Réévaluation Kinney - Exposition</t>
  </si>
  <si>
    <t>Réévaluation Kinney - Fréquence</t>
  </si>
  <si>
    <t>Réévaluation Kinney - Gravité</t>
  </si>
  <si>
    <t>Mesure qui concerne le plan global de prévention</t>
  </si>
  <si>
    <t>Mesure qui concerne le plan annnuel d'action</t>
  </si>
  <si>
    <t>année de la planification de la réalisation de la mesure</t>
  </si>
  <si>
    <t>Mesure à appliquer immédiatement</t>
  </si>
  <si>
    <t>Qui doit prendre en charge le suivi et l'exécution de la mesure</t>
  </si>
  <si>
    <t>Quelles sont les choses à faire pour faire appliquer la mesure</t>
  </si>
  <si>
    <t>Quelles sont les échéances à prendre en compte pour réaliser la mesure</t>
  </si>
  <si>
    <t>Quels sont les budgets et les moyens pour réussir à atteindre l'objectif de la mesure</t>
  </si>
  <si>
    <t>Est-ce que le risque est sous contrôle ?</t>
  </si>
  <si>
    <t>Que faut-il encore surveiller ?</t>
  </si>
  <si>
    <t>Colonne W</t>
  </si>
  <si>
    <t>Faut-il inclure le risque dans un scénario de crise ?</t>
  </si>
  <si>
    <t>Avis des services de prévention</t>
  </si>
  <si>
    <t>Avis de la concertation sociale</t>
  </si>
  <si>
    <t>Colonne X</t>
  </si>
  <si>
    <t>Colonne Y</t>
  </si>
  <si>
    <t>Colonne Z</t>
  </si>
  <si>
    <t>A surveiller</t>
  </si>
  <si>
    <t>PIU</t>
  </si>
  <si>
    <t>Onglet</t>
  </si>
  <si>
    <t>Thème</t>
  </si>
  <si>
    <t>I&amp;ER</t>
  </si>
  <si>
    <t>Kinney Gravité</t>
  </si>
  <si>
    <t>Kinney Risque</t>
  </si>
  <si>
    <t>Donne la signification des valeurs</t>
  </si>
  <si>
    <t>Kinney Probabiltié</t>
  </si>
  <si>
    <t>Kinney Exposition</t>
  </si>
  <si>
    <t>ID de la Colonne</t>
  </si>
  <si>
    <t>Signification</t>
  </si>
  <si>
    <t>Score de risque de la méthode Kinney (R = P x G x E)</t>
  </si>
  <si>
    <t>Facteur Gravité de la méthode Kinney</t>
  </si>
  <si>
    <t>Facteur Probabilité de la méthode Kinney</t>
  </si>
  <si>
    <t>Facteur Exposition de la méthode Kinney</t>
  </si>
  <si>
    <t>Liste des acteurs principaux concernés par la mise en œuvre du SDGR</t>
  </si>
  <si>
    <t>Niveau de prévention</t>
  </si>
  <si>
    <t>Liste des dangers les plus courant au sein d'une entreprise</t>
  </si>
  <si>
    <t>Niveau de la portée de la prévention</t>
  </si>
  <si>
    <t>(Primaire, secondaire, tertiaire)</t>
  </si>
  <si>
    <t>Explications</t>
  </si>
  <si>
    <t>YES</t>
  </si>
  <si>
    <t>NO</t>
  </si>
  <si>
    <t>Intégrer dans la phase 1 du scénario incendie</t>
  </si>
  <si>
    <t>Contrôle par les SLCI 1x par mois</t>
  </si>
  <si>
    <t>Étiquettes de lignes</t>
  </si>
  <si>
    <t>(vide)</t>
  </si>
  <si>
    <t>Total général</t>
  </si>
  <si>
    <t>ID</t>
  </si>
  <si>
    <t>Date</t>
  </si>
  <si>
    <t>N° d'identification de la mesure</t>
  </si>
  <si>
    <t>Date de notification de la mesure</t>
  </si>
  <si>
    <t>Colonne AA</t>
  </si>
  <si>
    <t>Colonne AB</t>
  </si>
  <si>
    <t>Somme de ID</t>
  </si>
  <si>
    <t>Nombre de ID</t>
  </si>
  <si>
    <t>Risques recencés par danger</t>
  </si>
  <si>
    <t>Grille de prévention</t>
  </si>
  <si>
    <t>PGP PAA</t>
  </si>
  <si>
    <t>ASAP</t>
  </si>
  <si>
    <t>Mesures de prévention à prendre le plus tôt possible</t>
  </si>
  <si>
    <t>Mesures projettées dans le Plan Global de Prévention et suivi du Plan Annuel d'Action</t>
  </si>
  <si>
    <t>Mesures de prévention répartie par type de prévention et type d'acteur</t>
  </si>
  <si>
    <t>Type de risques recencés par dangers</t>
  </si>
  <si>
    <t>Permet de rationaliser les moyens en fonction des dangers analysés (tableau croisés dynamiques à mettre à jour)</t>
  </si>
  <si>
    <t>Permet de distribuer les mesures de prévention au bon endroit avec le maximum d'efficacité (tableau croisés dynamiques à mettre à jour)</t>
  </si>
  <si>
    <t>Permet d'améliorer la culture d'entreprise et de répondre aux obligations légales au niveau de la planification de la prévention (SDGR) (tableau croisés dynamiques à mettre à jour)</t>
  </si>
  <si>
    <t>Permet de s'assurer que toutes les mesures immédiates conservatories ont bien été prises (tableau croisés dynamiques à mettre à jour)</t>
  </si>
  <si>
    <t>Ces données sont suggérées et expliquées via l'onglet "Acteurs"</t>
  </si>
  <si>
    <t>Ces données sont suggérées et expliquées via l'onglet "Niveau de prévention"</t>
  </si>
  <si>
    <t>Référence du dossier</t>
  </si>
  <si>
    <t>Colonne AC</t>
  </si>
  <si>
    <t>HEEPO</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</si>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</sst>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
      <b/>
      <sz val="11"/>
      <color theme="5" tint="-0.249977111117893"/>
      <name val="Calibri"/>
      <family val="2"/>
      <scheme val="minor"/>
    </font>
    <font>
      <b/>
      <sz val="11"/>
      <color rgb="FF00B050"/>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FF5050"/>
        <bgColor indexed="64"/>
      </patternFill>
    </fill>
    <fill>
      <patternFill patternType="solid">
        <fgColor theme="7" tint="0.39997558519241921"/>
        <bgColor indexed="64"/>
      </patternFill>
    </fill>
    <fill>
      <patternFill patternType="solid">
        <fgColor rgb="FF92D050"/>
        <bgColor indexed="64"/>
      </patternFill>
    </fill>
    <fill>
      <patternFill patternType="solid">
        <fgColor theme="1"/>
        <bgColor indexed="64"/>
      </patternFill>
    </fill>
    <fill>
      <patternFill patternType="solid">
        <fgColor rgb="FFFF0000"/>
        <bgColor indexed="64"/>
      </patternFill>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2" fillId="2" borderId="0" xfId="0" applyFont="1" applyFill="1"/>
    <xf numFmtId="0" fontId="0" fillId="0" borderId="0" xfId="0" applyAlignment="1">
      <alignment wrapText="1"/>
    </xf>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3" fillId="6" borderId="1" xfId="0" applyFont="1" applyFill="1" applyBorder="1" applyAlignment="1">
      <alignment horizontal="center" vertical="top"/>
    </xf>
    <xf numFmtId="0" fontId="0" fillId="0" borderId="1" xfId="0" applyBorder="1" applyAlignment="1">
      <alignment vertical="top" wrapText="1"/>
    </xf>
    <xf numFmtId="0" fontId="0" fillId="3" borderId="1" xfId="0" applyFill="1" applyBorder="1" applyAlignment="1">
      <alignment horizontal="center" vertical="top"/>
    </xf>
    <xf numFmtId="0" fontId="0" fillId="4" borderId="1" xfId="0" applyFill="1" applyBorder="1" applyAlignment="1">
      <alignment horizontal="center" vertical="top"/>
    </xf>
    <xf numFmtId="0" fontId="0" fillId="5" borderId="1" xfId="0" applyFill="1" applyBorder="1" applyAlignment="1">
      <alignment horizontal="center" vertical="top"/>
    </xf>
    <xf numFmtId="0" fontId="2" fillId="2" borderId="1" xfId="0" applyFont="1" applyFill="1" applyBorder="1"/>
    <xf numFmtId="0" fontId="0" fillId="0" borderId="1" xfId="0" applyBorder="1"/>
    <xf numFmtId="0" fontId="1" fillId="8" borderId="0" xfId="0" applyFont="1" applyFill="1" applyAlignment="1">
      <alignment horizontal="center"/>
    </xf>
    <xf numFmtId="0" fontId="0" fillId="0" borderId="0" xfId="0" applyAlignment="1">
      <alignment horizontal="center"/>
    </xf>
    <xf numFmtId="0" fontId="0" fillId="0" borderId="0" xfId="0" applyAlignment="1">
      <alignment vertical="top" wrapText="1"/>
    </xf>
    <xf numFmtId="0" fontId="1" fillId="6" borderId="1" xfId="0" applyFont="1" applyFill="1" applyBorder="1" applyAlignment="1">
      <alignment horizontal="center" vertical="top" wrapText="1"/>
    </xf>
    <xf numFmtId="0" fontId="2" fillId="2" borderId="0" xfId="0" applyFont="1" applyFill="1" applyAlignment="1">
      <alignment horizontal="center" vertical="top" wrapText="1"/>
    </xf>
    <xf numFmtId="0" fontId="1" fillId="8" borderId="0" xfId="0" applyFont="1" applyFill="1" applyAlignment="1">
      <alignment horizontal="center" vertical="top" wrapText="1"/>
    </xf>
    <xf numFmtId="0" fontId="2" fillId="7" borderId="0" xfId="0" applyFont="1" applyFill="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center" vertical="top"/>
    </xf>
    <xf numFmtId="14" fontId="0" fillId="0" borderId="0" xfId="0" applyNumberFormat="1" applyAlignment="1">
      <alignment horizontal="center" vertical="top"/>
    </xf>
    <xf numFmtId="14" fontId="2" fillId="2" borderId="0" xfId="0" applyNumberFormat="1" applyFont="1" applyFill="1" applyAlignment="1">
      <alignment horizontal="center" vertical="top" wrapText="1"/>
    </xf>
  </cellXfs>
  <cellStyles count="1">
    <cellStyle name="Normal" xfId="0" builtinId="0"/>
  </cellStyles>
  <dxfs count="2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1"/>
        </patternFill>
      </fill>
    </dxf>
    <dxf>
      <font>
        <color theme="0"/>
      </font>
      <fill>
        <patternFill>
          <bgColor theme="1"/>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1"/>
        </patternFill>
      </fill>
    </dxf>
    <dxf>
      <font>
        <color theme="0"/>
      </font>
      <fill>
        <patternFill>
          <bgColor theme="1"/>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ier compere" refreshedDate="44974.71310439815" createdVersion="8" refreshedVersion="8" minRefreshableVersion="3" recordCount="199" xr:uid="{D0DED860-CD5B-47B6-9094-AF8E9155D964}">
  <cacheSource type="worksheet">
    <worksheetSource ref="D1:AC200" sheet="I&amp;ER"/>
  </cacheSource>
  <cacheFields count="26">
    <cacheField name="Danger" numFmtId="0">
      <sharedItems containsBlank="1" count="3">
        <s v="Incendie"/>
        <s v="Chute de personne, de plein pied"/>
        <m/>
      </sharedItems>
    </cacheField>
    <cacheField name="Risques" numFmtId="0">
      <sharedItems containsBlank="1" count="3">
        <s v="Brûlures, augmentation des dégats"/>
        <s v="De se trébucher, de se blesser"/>
        <m/>
      </sharedItems>
    </cacheField>
    <cacheField name="Causes" numFmtId="0">
      <sharedItems containsBlank="1"/>
    </cacheField>
    <cacheField name="Catégorie acteur" numFmtId="0">
      <sharedItems containsBlank="1" count="2">
        <s v="Ligne hiérarchique"/>
        <m/>
      </sharedItems>
    </cacheField>
    <cacheField name="niveau prévention" numFmtId="0">
      <sharedItems containsBlank="1" count="3">
        <s v="Secondaire"/>
        <s v="Primaire"/>
        <m/>
      </sharedItems>
    </cacheField>
    <cacheField name="R = G x P x F" numFmtId="0">
      <sharedItems containsSemiMixedTypes="0" containsString="0" containsNumber="1" containsInteger="1" minValue="0" maxValue="3600"/>
    </cacheField>
    <cacheField name="Gravite" numFmtId="0">
      <sharedItems containsString="0" containsBlank="1" containsNumber="1" containsInteger="1" minValue="7" maxValue="100"/>
    </cacheField>
    <cacheField name="Probabilite" numFmtId="0">
      <sharedItems containsString="0" containsBlank="1" containsNumber="1" containsInteger="1" minValue="6" maxValue="6"/>
    </cacheField>
    <cacheField name="Exposition" numFmtId="0">
      <sharedItems containsString="0" containsBlank="1" containsNumber="1" containsInteger="1" minValue="6" maxValue="6"/>
    </cacheField>
    <cacheField name="Mesures de prévention 2" numFmtId="0">
      <sharedItems containsBlank="1" count="3">
        <s v="Organiser les espaces de stockage"/>
        <s v="Libérer les voies d'évacuattion"/>
        <m/>
      </sharedItems>
    </cacheField>
    <cacheField name="R = G x P x F2" numFmtId="0">
      <sharedItems containsSemiMixedTypes="0" containsString="0" containsNumber="1" minValue="0" maxValue="14"/>
    </cacheField>
    <cacheField name="Gravite2" numFmtId="0">
      <sharedItems containsString="0" containsBlank="1" containsNumber="1" containsInteger="1" minValue="3" maxValue="7"/>
    </cacheField>
    <cacheField name="Probabilite2" numFmtId="0">
      <sharedItems containsString="0" containsBlank="1" containsNumber="1" minValue="0.5" maxValue="1"/>
    </cacheField>
    <cacheField name="Exposition2" numFmtId="0">
      <sharedItems containsString="0" containsBlank="1" containsNumber="1" containsInteger="1" minValue="1" maxValue="2"/>
    </cacheField>
    <cacheField name="PGP" numFmtId="0">
      <sharedItems containsBlank="1" count="3">
        <s v="OUI"/>
        <s v="NON"/>
        <m/>
      </sharedItems>
    </cacheField>
    <cacheField name="PAA" numFmtId="0">
      <sharedItems containsBlank="1" containsMixedTypes="1" containsNumber="1" containsInteger="1" minValue="2024" maxValue="2024" count="3">
        <n v="2024"/>
        <s v="NON"/>
        <m/>
      </sharedItems>
    </cacheField>
    <cacheField name="NOW" numFmtId="0">
      <sharedItems containsBlank="1"/>
    </cacheField>
    <cacheField name="Qui" numFmtId="0">
      <sharedItems containsBlank="1"/>
    </cacheField>
    <cacheField name="Quoi" numFmtId="0">
      <sharedItems containsBlank="1"/>
    </cacheField>
    <cacheField name="Quand" numFmtId="0">
      <sharedItems containsString="0" containsBlank="1" containsNumber="1" containsInteger="1" minValue="2023" maxValue="2024"/>
    </cacheField>
    <cacheField name="Budget" numFmtId="0">
      <sharedItems containsBlank="1"/>
    </cacheField>
    <cacheField name="Avis SIPPT" numFmtId="0">
      <sharedItems containsBlank="1"/>
    </cacheField>
    <cacheField name="Avis / Accord CPPT" numFmtId="0">
      <sharedItems containsBlank="1"/>
    </cacheField>
    <cacheField name="A surveiller" numFmtId="0">
      <sharedItems containsBlank="1"/>
    </cacheField>
    <cacheField name="PIU" numFmtId="0">
      <sharedItems containsBlank="1"/>
    </cacheField>
    <cacheField name="Clôtur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ier compere" refreshedDate="44974.713812152775" createdVersion="8" refreshedVersion="8" minRefreshableVersion="3" recordCount="200" xr:uid="{2A992A9E-DDA7-4AB2-98A9-B8EB5B343921}">
  <cacheSource type="worksheet">
    <worksheetSource ref="A1:AC1048576" sheet="I&amp;ER"/>
  </cacheSource>
  <cacheFields count="28">
    <cacheField name="ID" numFmtId="0">
      <sharedItems containsString="0" containsBlank="1" containsNumber="1" containsInteger="1" minValue="1" maxValue="2" count="3">
        <n v="1"/>
        <n v="2"/>
        <m/>
      </sharedItems>
    </cacheField>
    <cacheField name="Date" numFmtId="14">
      <sharedItems containsNonDate="0" containsDate="1" containsString="0" containsBlank="1" minDate="2023-02-13T00:00:00" maxDate="2023-02-18T00:00:00"/>
    </cacheField>
    <cacheField name="Danger" numFmtId="0">
      <sharedItems containsBlank="1"/>
    </cacheField>
    <cacheField name="Risques" numFmtId="0">
      <sharedItems containsBlank="1"/>
    </cacheField>
    <cacheField name="Causes" numFmtId="0">
      <sharedItems containsBlank="1"/>
    </cacheField>
    <cacheField name="Catégorie acteur" numFmtId="0">
      <sharedItems containsBlank="1"/>
    </cacheField>
    <cacheField name="niveau prévention" numFmtId="0">
      <sharedItems containsBlank="1"/>
    </cacheField>
    <cacheField name="R = G x P x F" numFmtId="0">
      <sharedItems containsString="0" containsBlank="1" containsNumber="1" containsInteger="1" minValue="0" maxValue="3600"/>
    </cacheField>
    <cacheField name="Gravite" numFmtId="0">
      <sharedItems containsString="0" containsBlank="1" containsNumber="1" containsInteger="1" minValue="7" maxValue="100"/>
    </cacheField>
    <cacheField name="Probabilite" numFmtId="0">
      <sharedItems containsString="0" containsBlank="1" containsNumber="1" containsInteger="1" minValue="6" maxValue="6"/>
    </cacheField>
    <cacheField name="Exposition" numFmtId="0">
      <sharedItems containsString="0" containsBlank="1" containsNumber="1" containsInteger="1" minValue="6" maxValue="6"/>
    </cacheField>
    <cacheField name="Mesures de prévention 2" numFmtId="0">
      <sharedItems containsBlank="1" count="3">
        <s v="Organiser les espaces de stockage"/>
        <s v="Libérer les voies d'évacuattion"/>
        <m/>
      </sharedItems>
    </cacheField>
    <cacheField name="R = G x P x F2" numFmtId="0">
      <sharedItems containsString="0" containsBlank="1" containsNumber="1" minValue="0" maxValue="14"/>
    </cacheField>
    <cacheField name="Gravite2" numFmtId="0">
      <sharedItems containsString="0" containsBlank="1" containsNumber="1" containsInteger="1" minValue="3" maxValue="7"/>
    </cacheField>
    <cacheField name="Probabilite2" numFmtId="0">
      <sharedItems containsString="0" containsBlank="1" containsNumber="1" minValue="0.5" maxValue="1"/>
    </cacheField>
    <cacheField name="Exposition2" numFmtId="0">
      <sharedItems containsString="0" containsBlank="1" containsNumber="1" containsInteger="1" minValue="1" maxValue="2"/>
    </cacheField>
    <cacheField name="PGP" numFmtId="0">
      <sharedItems containsBlank="1" count="3">
        <s v="OUI"/>
        <s v="NON"/>
        <m/>
      </sharedItems>
    </cacheField>
    <cacheField name="PAA" numFmtId="0">
      <sharedItems containsBlank="1" containsMixedTypes="1" containsNumber="1" containsInteger="1" minValue="2024" maxValue="2024" count="3">
        <n v="2024"/>
        <s v="NON"/>
        <m/>
      </sharedItems>
    </cacheField>
    <cacheField name="NOW" numFmtId="0">
      <sharedItems containsBlank="1"/>
    </cacheField>
    <cacheField name="Qui" numFmtId="0">
      <sharedItems containsBlank="1"/>
    </cacheField>
    <cacheField name="Quoi" numFmtId="0">
      <sharedItems containsBlank="1"/>
    </cacheField>
    <cacheField name="Quand" numFmtId="0">
      <sharedItems containsString="0" containsBlank="1" containsNumber="1" containsInteger="1" minValue="2023" maxValue="2024"/>
    </cacheField>
    <cacheField name="Budget" numFmtId="0">
      <sharedItems containsBlank="1"/>
    </cacheField>
    <cacheField name="Avis SIPPT" numFmtId="0">
      <sharedItems containsBlank="1"/>
    </cacheField>
    <cacheField name="Avis / Accord CPPT" numFmtId="0">
      <sharedItems containsBlank="1"/>
    </cacheField>
    <cacheField name="A surveiller" numFmtId="0">
      <sharedItems containsBlank="1"/>
    </cacheField>
    <cacheField name="PIU" numFmtId="0">
      <sharedItems containsBlank="1"/>
    </cacheField>
    <cacheField name="Clôture"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ier compere" refreshedDate="44974.715194560187" createdVersion="8" refreshedVersion="8" minRefreshableVersion="3" recordCount="199" xr:uid="{FB326A37-BBC9-4E0D-819B-01309BFC7113}">
  <cacheSource type="worksheet">
    <worksheetSource ref="A1:AC200" sheet="I&amp;ER"/>
  </cacheSource>
  <cacheFields count="28">
    <cacheField name="ID" numFmtId="0">
      <sharedItems containsString="0" containsBlank="1" containsNumber="1" containsInteger="1" minValue="1" maxValue="2"/>
    </cacheField>
    <cacheField name="Date" numFmtId="14">
      <sharedItems containsNonDate="0" containsDate="1" containsString="0" containsBlank="1" minDate="2023-02-13T00:00:00" maxDate="2023-02-18T00:00:00"/>
    </cacheField>
    <cacheField name="Danger" numFmtId="0">
      <sharedItems containsBlank="1"/>
    </cacheField>
    <cacheField name="Risques" numFmtId="0">
      <sharedItems containsBlank="1"/>
    </cacheField>
    <cacheField name="Causes" numFmtId="0">
      <sharedItems containsBlank="1"/>
    </cacheField>
    <cacheField name="Catégorie acteur" numFmtId="0">
      <sharedItems containsBlank="1"/>
    </cacheField>
    <cacheField name="niveau prévention" numFmtId="0">
      <sharedItems containsBlank="1"/>
    </cacheField>
    <cacheField name="R = G x P x F" numFmtId="0">
      <sharedItems containsSemiMixedTypes="0" containsString="0" containsNumber="1" containsInteger="1" minValue="0" maxValue="3600"/>
    </cacheField>
    <cacheField name="Gravite" numFmtId="0">
      <sharedItems containsString="0" containsBlank="1" containsNumber="1" containsInteger="1" minValue="7" maxValue="100"/>
    </cacheField>
    <cacheField name="Probabilite" numFmtId="0">
      <sharedItems containsString="0" containsBlank="1" containsNumber="1" containsInteger="1" minValue="6" maxValue="6"/>
    </cacheField>
    <cacheField name="Exposition" numFmtId="0">
      <sharedItems containsString="0" containsBlank="1" containsNumber="1" containsInteger="1" minValue="6" maxValue="6"/>
    </cacheField>
    <cacheField name="Mesures de prévention 2" numFmtId="0">
      <sharedItems containsBlank="1" count="3">
        <s v="Organiser les espaces de stockage"/>
        <s v="Libérer les voies d'évacuattion"/>
        <m/>
      </sharedItems>
    </cacheField>
    <cacheField name="R = G x P x F2" numFmtId="0">
      <sharedItems containsSemiMixedTypes="0" containsString="0" containsNumber="1" minValue="0" maxValue="14"/>
    </cacheField>
    <cacheField name="Gravite2" numFmtId="0">
      <sharedItems containsString="0" containsBlank="1" containsNumber="1" containsInteger="1" minValue="3" maxValue="7"/>
    </cacheField>
    <cacheField name="Probabilite2" numFmtId="0">
      <sharedItems containsString="0" containsBlank="1" containsNumber="1" minValue="0.5" maxValue="1"/>
    </cacheField>
    <cacheField name="Exposition2" numFmtId="0">
      <sharedItems containsString="0" containsBlank="1" containsNumber="1" containsInteger="1" minValue="1" maxValue="2"/>
    </cacheField>
    <cacheField name="PGP" numFmtId="0">
      <sharedItems containsBlank="1"/>
    </cacheField>
    <cacheField name="PAA" numFmtId="0">
      <sharedItems containsBlank="1" containsMixedTypes="1" containsNumber="1" containsInteger="1" minValue="2024" maxValue="2024"/>
    </cacheField>
    <cacheField name="NOW" numFmtId="0">
      <sharedItems containsBlank="1" count="3">
        <s v="NON"/>
        <s v="OUI"/>
        <m/>
      </sharedItems>
    </cacheField>
    <cacheField name="Qui" numFmtId="0">
      <sharedItems containsBlank="1"/>
    </cacheField>
    <cacheField name="Quoi" numFmtId="0">
      <sharedItems containsBlank="1"/>
    </cacheField>
    <cacheField name="Quand" numFmtId="0">
      <sharedItems containsString="0" containsBlank="1" containsNumber="1" containsInteger="1" minValue="2023" maxValue="2024"/>
    </cacheField>
    <cacheField name="Budget" numFmtId="0">
      <sharedItems containsBlank="1"/>
    </cacheField>
    <cacheField name="Avis SIPPT" numFmtId="0">
      <sharedItems containsBlank="1"/>
    </cacheField>
    <cacheField name="Avis / Accord CPPT" numFmtId="0">
      <sharedItems containsBlank="1"/>
    </cacheField>
    <cacheField name="A surveiller" numFmtId="0">
      <sharedItems containsBlank="1"/>
    </cacheField>
    <cacheField name="PIU" numFmtId="0">
      <sharedItems containsBlank="1"/>
    </cacheField>
    <cacheField name="Clôture" numFmtId="0">
      <sharedItems containsBlank="1" count="3">
        <s v="YES"/>
        <s v="NO"/>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x v="0"/>
    <x v="0"/>
    <s v="Voies encombrées"/>
    <x v="0"/>
    <x v="0"/>
    <n v="3600"/>
    <n v="100"/>
    <n v="6"/>
    <n v="6"/>
    <x v="0"/>
    <n v="14"/>
    <n v="7"/>
    <n v="1"/>
    <n v="2"/>
    <x v="0"/>
    <x v="0"/>
    <s v="NON"/>
    <s v="Resosurces matériel"/>
    <s v="Organiser les espaces de stockage"/>
    <n v="2024"/>
    <s v="Achat des armoire, réorganisation des locaux"/>
    <s v="Etude ergonomique, étude NWOW"/>
    <s v="Réunion techique, participation des travailleurs, avis sur l'avant-projet"/>
    <s v="Contrôle par les SLCI 1x par mois"/>
    <s v="Intégrer dans la phase 1 du scénario incendie"/>
    <s v="YES"/>
  </r>
  <r>
    <x v="1"/>
    <x v="1"/>
    <s v="Voies encombrées"/>
    <x v="0"/>
    <x v="1"/>
    <n v="252"/>
    <n v="7"/>
    <n v="6"/>
    <n v="6"/>
    <x v="1"/>
    <n v="1.5"/>
    <n v="3"/>
    <n v="0.5"/>
    <n v="1"/>
    <x v="1"/>
    <x v="1"/>
    <s v="OUI"/>
    <s v="Tout le monde"/>
    <s v="Dégager tout ce qui n'est pas utile"/>
    <n v="2023"/>
    <s v="Mise en place de poubelle, tri des déchets, évacuation des déchets"/>
    <s v="Attention au TMS"/>
    <s v="Pas d'avis à demander, présentation des résultats"/>
    <m/>
    <m/>
    <s v="NO"/>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r>
    <x v="2"/>
    <x v="2"/>
    <m/>
    <x v="1"/>
    <x v="2"/>
    <n v="0"/>
    <m/>
    <m/>
    <m/>
    <x v="2"/>
    <n v="0"/>
    <m/>
    <m/>
    <m/>
    <x v="2"/>
    <x v="2"/>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d v="2023-02-13T00:00:00"/>
    <s v="Incendie"/>
    <s v="Brûlures, augmentation des dégats"/>
    <s v="Voies encombrées"/>
    <s v="Ligne hiérarchique"/>
    <s v="Secondaire"/>
    <n v="3600"/>
    <n v="100"/>
    <n v="6"/>
    <n v="6"/>
    <x v="0"/>
    <n v="14"/>
    <n v="7"/>
    <n v="1"/>
    <n v="2"/>
    <x v="0"/>
    <x v="0"/>
    <s v="NON"/>
    <s v="Resosurces matériel"/>
    <s v="Organiser les espaces de stockage"/>
    <n v="2024"/>
    <s v="Achat des armoire, réorganisation des locaux"/>
    <s v="Etude ergonomique, étude NWOW"/>
    <s v="Réunion techique, participation des travailleurs, avis sur l'avant-projet"/>
    <s v="Contrôle par les SLCI 1x par mois"/>
    <s v="Intégrer dans la phase 1 du scénario incendie"/>
    <s v="YES"/>
  </r>
  <r>
    <x v="1"/>
    <d v="2023-02-17T00:00:00"/>
    <s v="Chute de personne, de plein pied"/>
    <s v="De se trébucher, de se blesser"/>
    <s v="Voies encombrées"/>
    <s v="Ligne hiérarchique"/>
    <s v="Primaire"/>
    <n v="252"/>
    <n v="7"/>
    <n v="6"/>
    <n v="6"/>
    <x v="1"/>
    <n v="1.5"/>
    <n v="3"/>
    <n v="0.5"/>
    <n v="1"/>
    <x v="1"/>
    <x v="1"/>
    <s v="OUI"/>
    <s v="Tout le monde"/>
    <s v="Dégager tout ce qui n'est pas utile"/>
    <n v="2023"/>
    <s v="Mise en place de poubelle, tri des déchets, évacuation des déchets"/>
    <s v="Attention au TMS"/>
    <s v="Pas d'avis à demander, présentation des résultats"/>
    <m/>
    <m/>
    <s v="NO"/>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n v="0"/>
    <m/>
    <m/>
    <m/>
    <x v="2"/>
    <n v="0"/>
    <m/>
    <m/>
    <m/>
    <x v="2"/>
    <x v="2"/>
    <m/>
    <m/>
    <m/>
    <m/>
    <m/>
    <m/>
    <m/>
    <m/>
    <m/>
    <m/>
  </r>
  <r>
    <x v="2"/>
    <m/>
    <m/>
    <m/>
    <m/>
    <m/>
    <m/>
    <m/>
    <m/>
    <m/>
    <m/>
    <x v="2"/>
    <m/>
    <m/>
    <m/>
    <m/>
    <x v="2"/>
    <x v="2"/>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n v="1"/>
    <d v="2023-02-13T00:00:00"/>
    <s v="Incendie"/>
    <s v="Brûlures, augmentation des dégats"/>
    <s v="Voies encombrées"/>
    <s v="Ligne hiérarchique"/>
    <s v="Secondaire"/>
    <n v="3600"/>
    <n v="100"/>
    <n v="6"/>
    <n v="6"/>
    <x v="0"/>
    <n v="14"/>
    <n v="7"/>
    <n v="1"/>
    <n v="2"/>
    <s v="OUI"/>
    <n v="2024"/>
    <x v="0"/>
    <s v="Resosurces matériel"/>
    <s v="Organiser les espaces de stockage"/>
    <n v="2024"/>
    <s v="Achat des armoire, réorganisation des locaux"/>
    <s v="Etude ergonomique, étude NWOW"/>
    <s v="Réunion techique, participation des travailleurs, avis sur l'avant-projet"/>
    <s v="Contrôle par les SLCI 1x par mois"/>
    <s v="Intégrer dans la phase 1 du scénario incendie"/>
    <x v="0"/>
  </r>
  <r>
    <n v="2"/>
    <d v="2023-02-17T00:00:00"/>
    <s v="Chute de personne, de plein pied"/>
    <s v="De se trébucher, de se blesser"/>
    <s v="Voies encombrées"/>
    <s v="Ligne hiérarchique"/>
    <s v="Primaire"/>
    <n v="252"/>
    <n v="7"/>
    <n v="6"/>
    <n v="6"/>
    <x v="1"/>
    <n v="1.5"/>
    <n v="3"/>
    <n v="0.5"/>
    <n v="1"/>
    <s v="NON"/>
    <s v="NON"/>
    <x v="1"/>
    <s v="Tout le monde"/>
    <s v="Dégager tout ce qui n'est pas utile"/>
    <n v="2023"/>
    <s v="Mise en place de poubelle, tri des déchets, évacuation des déchets"/>
    <s v="Attention au TMS"/>
    <s v="Pas d'avis à demander, présentation des résultats"/>
    <m/>
    <m/>
    <x v="1"/>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r>
    <m/>
    <m/>
    <m/>
    <m/>
    <m/>
    <m/>
    <m/>
    <n v="0"/>
    <m/>
    <m/>
    <m/>
    <x v="2"/>
    <n v="0"/>
    <m/>
    <m/>
    <m/>
    <m/>
    <m/>
    <x v="2"/>
    <m/>
    <m/>
    <m/>
    <m/>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0B550F-0D36-4DE5-9A4B-3272FAD331AF}" name="Tableau croisé dynamique1"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A10" firstHeaderRow="1" firstDataRow="1" firstDataCol="1"/>
  <pivotFields count="26">
    <pivotField axis="axisRow" showAll="0">
      <items count="4">
        <item x="1"/>
        <item x="0"/>
        <item x="2"/>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1"/>
  </rowFields>
  <rowItems count="7">
    <i>
      <x/>
    </i>
    <i r="1">
      <x v="1"/>
    </i>
    <i>
      <x v="1"/>
    </i>
    <i r="1">
      <x/>
    </i>
    <i>
      <x v="2"/>
    </i>
    <i r="1">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4287CE-81C7-46F2-B5FF-C1A4D2D37311}" name="Tableau croisé dynamique2"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A12" firstHeaderRow="1" firstDataRow="1" firstDataCol="1"/>
  <pivotFields count="26">
    <pivotField showAll="0"/>
    <pivotField showAll="0"/>
    <pivotField showAll="0"/>
    <pivotField axis="axisRow" showAll="0">
      <items count="3">
        <item x="0"/>
        <item x="1"/>
        <item t="default"/>
      </items>
    </pivotField>
    <pivotField axis="axisRow" showAll="0">
      <items count="4">
        <item x="1"/>
        <item x="0"/>
        <item x="2"/>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3"/>
    <field x="4"/>
    <field x="9"/>
  </rowFields>
  <rowItems count="9">
    <i>
      <x/>
    </i>
    <i r="1">
      <x/>
    </i>
    <i r="2">
      <x/>
    </i>
    <i r="1">
      <x v="1"/>
    </i>
    <i r="2">
      <x v="1"/>
    </i>
    <i>
      <x v="1"/>
    </i>
    <i r="1">
      <x v="2"/>
    </i>
    <i r="2">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587EC8-1C72-420B-961B-F6147BC7A5B8}" name="Tableau croisé dynamique3" cacheId="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B6" firstHeaderRow="1" firstDataRow="1" firstDataCol="1" rowPageCount="1" colPageCount="1"/>
  <pivotFields count="28">
    <pivotField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axis="axisPage" showAll="0">
      <items count="4">
        <item x="1"/>
        <item x="0"/>
        <item x="2"/>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s>
  <rowFields count="2">
    <field x="17"/>
    <field x="11"/>
  </rowFields>
  <rowItems count="3">
    <i>
      <x/>
    </i>
    <i r="1">
      <x v="1"/>
    </i>
    <i t="grand">
      <x/>
    </i>
  </rowItems>
  <colItems count="1">
    <i/>
  </colItems>
  <pageFields count="1">
    <pageField fld="16" item="1" hier="-1"/>
  </pageFields>
  <dataFields count="1">
    <dataField name="Nombre de ID" fld="0" subtotal="countNums"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C2A2F7-BA88-4D44-A050-5375D611C793}" name="Tableau croisé dynamique4" cacheId="2"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4:B6" firstHeaderRow="1" firstDataRow="1" firstDataCol="1" rowPageCount="2" colPageCount="1"/>
  <pivotFields count="28">
    <pivotField dataField="1"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axis="axisPage" showAll="0">
      <items count="4">
        <item x="0"/>
        <item x="1"/>
        <item x="2"/>
        <item t="default"/>
      </items>
    </pivotField>
    <pivotField showAll="0"/>
    <pivotField showAll="0"/>
    <pivotField showAll="0"/>
    <pivotField showAll="0"/>
    <pivotField showAll="0"/>
    <pivotField showAll="0"/>
    <pivotField showAll="0"/>
    <pivotField showAll="0"/>
    <pivotField axis="axisPage" showAll="0">
      <items count="4">
        <item x="1"/>
        <item x="0"/>
        <item x="2"/>
        <item t="default"/>
      </items>
    </pivotField>
  </pivotFields>
  <rowFields count="1">
    <field x="11"/>
  </rowFields>
  <rowItems count="2">
    <i>
      <x/>
    </i>
    <i t="grand">
      <x/>
    </i>
  </rowItems>
  <colItems count="1">
    <i/>
  </colItems>
  <pageFields count="2">
    <pageField fld="18" item="1" hier="-1"/>
    <pageField fld="27" item="0" hier="-1"/>
  </pageFields>
  <dataFields count="1">
    <dataField name="Somme de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4261D-55D9-48F9-B072-51FCD46D7376}">
  <sheetPr>
    <tabColor rgb="FFFFFF00"/>
  </sheetPr>
  <dimension ref="A3:A10"/>
  <sheetViews>
    <sheetView workbookViewId="0">
      <selection activeCell="A3" sqref="A3"/>
    </sheetView>
  </sheetViews>
  <sheetFormatPr baseColWidth="10" defaultRowHeight="14.25" x14ac:dyDescent="0.45"/>
  <cols>
    <col min="1" max="1" width="33.796875" bestFit="1" customWidth="1"/>
  </cols>
  <sheetData>
    <row r="3" spans="1:1" x14ac:dyDescent="0.45">
      <c r="A3" s="21" t="s">
        <v>311</v>
      </c>
    </row>
    <row r="4" spans="1:1" x14ac:dyDescent="0.45">
      <c r="A4" s="22" t="s">
        <v>82</v>
      </c>
    </row>
    <row r="5" spans="1:1" x14ac:dyDescent="0.45">
      <c r="A5" s="23" t="s">
        <v>210</v>
      </c>
    </row>
    <row r="6" spans="1:1" x14ac:dyDescent="0.45">
      <c r="A6" s="22" t="s">
        <v>67</v>
      </c>
    </row>
    <row r="7" spans="1:1" x14ac:dyDescent="0.45">
      <c r="A7" s="23" t="s">
        <v>7</v>
      </c>
    </row>
    <row r="8" spans="1:1" x14ac:dyDescent="0.45">
      <c r="A8" s="22" t="s">
        <v>312</v>
      </c>
    </row>
    <row r="9" spans="1:1" x14ac:dyDescent="0.45">
      <c r="A9" s="23" t="s">
        <v>312</v>
      </c>
    </row>
    <row r="10" spans="1:1" x14ac:dyDescent="0.45">
      <c r="A10" s="22" t="s">
        <v>313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365BA-BD9B-4CEF-BD15-64BC58F86578}">
  <sheetPr>
    <tabColor rgb="FFFFFF00"/>
  </sheetPr>
  <dimension ref="A3:A12"/>
  <sheetViews>
    <sheetView workbookViewId="0">
      <selection activeCell="A8" activeCellId="1" sqref="A6 A8 A11"/>
      <pivotSelection pane="bottomRight" showHeader="1" axis="axisRow" dimension="2" activeRow="7" previousRow="7" click="1" r:id="rId1">
        <pivotArea dataOnly="0" labelOnly="1" fieldPosition="0">
          <references count="1">
            <reference field="9" count="0"/>
          </references>
        </pivotArea>
      </pivotSelection>
    </sheetView>
  </sheetViews>
  <sheetFormatPr baseColWidth="10" defaultRowHeight="14.25" x14ac:dyDescent="0.45"/>
  <cols>
    <col min="1" max="1" width="35" bestFit="1" customWidth="1"/>
  </cols>
  <sheetData>
    <row r="3" spans="1:1" x14ac:dyDescent="0.45">
      <c r="A3" s="21" t="s">
        <v>311</v>
      </c>
    </row>
    <row r="4" spans="1:1" x14ac:dyDescent="0.45">
      <c r="A4" s="22" t="s">
        <v>14</v>
      </c>
    </row>
    <row r="5" spans="1:1" x14ac:dyDescent="0.45">
      <c r="A5" s="23" t="s">
        <v>9</v>
      </c>
    </row>
    <row r="6" spans="1:1" x14ac:dyDescent="0.45">
      <c r="A6" s="24" t="s">
        <v>211</v>
      </c>
    </row>
    <row r="7" spans="1:1" x14ac:dyDescent="0.45">
      <c r="A7" s="23" t="s">
        <v>10</v>
      </c>
    </row>
    <row r="8" spans="1:1" x14ac:dyDescent="0.45">
      <c r="A8" s="24" t="s">
        <v>4</v>
      </c>
    </row>
    <row r="9" spans="1:1" x14ac:dyDescent="0.45">
      <c r="A9" s="22" t="s">
        <v>312</v>
      </c>
    </row>
    <row r="10" spans="1:1" x14ac:dyDescent="0.45">
      <c r="A10" s="23" t="s">
        <v>312</v>
      </c>
    </row>
    <row r="11" spans="1:1" x14ac:dyDescent="0.45">
      <c r="A11" s="24" t="s">
        <v>312</v>
      </c>
    </row>
    <row r="12" spans="1:1" x14ac:dyDescent="0.45">
      <c r="A12" s="22" t="s">
        <v>313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D8ECE-518B-4C02-8569-B0973DC1E6D8}">
  <sheetPr>
    <tabColor rgb="FFFFFF00"/>
  </sheetPr>
  <dimension ref="A1:B6"/>
  <sheetViews>
    <sheetView workbookViewId="0">
      <selection activeCell="A21" sqref="A21"/>
    </sheetView>
  </sheetViews>
  <sheetFormatPr baseColWidth="10" defaultRowHeight="14.25" x14ac:dyDescent="0.45"/>
  <cols>
    <col min="1" max="1" width="32.9296875" bestFit="1" customWidth="1"/>
    <col min="2" max="2" width="12.46484375" bestFit="1" customWidth="1"/>
  </cols>
  <sheetData>
    <row r="1" spans="1:2" x14ac:dyDescent="0.45">
      <c r="A1" s="21" t="s">
        <v>69</v>
      </c>
      <c r="B1" t="s">
        <v>212</v>
      </c>
    </row>
    <row r="3" spans="1:2" x14ac:dyDescent="0.45">
      <c r="A3" s="21" t="s">
        <v>311</v>
      </c>
      <c r="B3" t="s">
        <v>321</v>
      </c>
    </row>
    <row r="4" spans="1:2" x14ac:dyDescent="0.45">
      <c r="A4" s="22">
        <v>2024</v>
      </c>
      <c r="B4">
        <v>1</v>
      </c>
    </row>
    <row r="5" spans="1:2" x14ac:dyDescent="0.45">
      <c r="A5" s="23" t="s">
        <v>4</v>
      </c>
      <c r="B5">
        <v>1</v>
      </c>
    </row>
    <row r="6" spans="1:2" x14ac:dyDescent="0.45">
      <c r="A6" s="22" t="s">
        <v>313</v>
      </c>
      <c r="B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623AB-632A-4D51-8002-8BD3F66838E5}">
  <sheetPr>
    <tabColor rgb="FFFFFF00"/>
  </sheetPr>
  <dimension ref="A1:B6"/>
  <sheetViews>
    <sheetView workbookViewId="0">
      <selection activeCell="C8" sqref="C8"/>
    </sheetView>
  </sheetViews>
  <sheetFormatPr baseColWidth="10" defaultRowHeight="14.25" x14ac:dyDescent="0.45"/>
  <cols>
    <col min="1" max="1" width="26.06640625" bestFit="1" customWidth="1"/>
    <col min="2" max="2" width="11.9296875" bestFit="1" customWidth="1"/>
  </cols>
  <sheetData>
    <row r="1" spans="1:2" x14ac:dyDescent="0.45">
      <c r="A1" s="21" t="s">
        <v>213</v>
      </c>
      <c r="B1" t="s">
        <v>212</v>
      </c>
    </row>
    <row r="2" spans="1:2" x14ac:dyDescent="0.45">
      <c r="A2" s="21" t="s">
        <v>77</v>
      </c>
      <c r="B2" t="s">
        <v>308</v>
      </c>
    </row>
    <row r="4" spans="1:2" x14ac:dyDescent="0.45">
      <c r="A4" s="21" t="s">
        <v>311</v>
      </c>
      <c r="B4" t="s">
        <v>320</v>
      </c>
    </row>
    <row r="5" spans="1:2" x14ac:dyDescent="0.45">
      <c r="A5" s="22" t="s">
        <v>211</v>
      </c>
      <c r="B5">
        <v>2</v>
      </c>
    </row>
    <row r="6" spans="1:2" x14ac:dyDescent="0.45">
      <c r="A6" s="22" t="s">
        <v>313</v>
      </c>
      <c r="B6">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C8332-EE8E-4310-8B0B-99AE512CF65F}">
  <sheetPr>
    <tabColor rgb="FF00B050"/>
  </sheetPr>
  <dimension ref="A1:AD200"/>
  <sheetViews>
    <sheetView tabSelected="1" workbookViewId="0">
      <selection activeCell="Q1" sqref="Q1:Q1048576"/>
    </sheetView>
  </sheetViews>
  <sheetFormatPr baseColWidth="10" defaultRowHeight="14.25" x14ac:dyDescent="0.45"/>
  <cols>
    <col min="1" max="1" width="10.9296875" style="25"/>
    <col min="2" max="2" width="10.9296875" style="26"/>
    <col min="3" max="3" width="10.6640625" style="26"/>
    <col min="4" max="4" width="47.06640625" style="20" customWidth="1"/>
    <col min="5" max="5" width="33.06640625" style="20" customWidth="1"/>
    <col min="6" max="6" width="33.33203125" style="20" customWidth="1"/>
    <col min="7" max="7" width="23.59765625" style="20" customWidth="1"/>
    <col min="8" max="8" width="22.53125" style="20" customWidth="1"/>
    <col min="9" max="11" width="10.9296875" style="19"/>
    <col min="12" max="12" width="10.6640625" style="19"/>
    <col min="13" max="13" width="44.19921875" style="20" customWidth="1"/>
    <col min="14" max="16" width="10.9296875" style="19"/>
    <col min="17" max="17" width="10.6640625" style="19"/>
    <col min="18" max="20" width="10.9296875" style="19"/>
    <col min="21" max="25" width="32.796875" style="20" customWidth="1"/>
    <col min="26" max="26" width="47" style="20" customWidth="1"/>
    <col min="27" max="28" width="32.796875" style="20" customWidth="1"/>
    <col min="29" max="29" width="15.73046875" style="19" customWidth="1"/>
    <col min="30" max="30" width="21.73046875" customWidth="1"/>
  </cols>
  <sheetData>
    <row r="1" spans="1:30" s="13" customFormat="1" x14ac:dyDescent="0.45">
      <c r="A1" s="16" t="s">
        <v>314</v>
      </c>
      <c r="B1" s="27" t="s">
        <v>315</v>
      </c>
      <c r="C1" s="27" t="s">
        <v>338</v>
      </c>
      <c r="D1" s="16" t="s">
        <v>5</v>
      </c>
      <c r="E1" s="16" t="s">
        <v>6</v>
      </c>
      <c r="F1" s="16" t="s">
        <v>68</v>
      </c>
      <c r="G1" s="17" t="s">
        <v>1</v>
      </c>
      <c r="H1" s="17" t="s">
        <v>0</v>
      </c>
      <c r="I1" s="18" t="s">
        <v>36</v>
      </c>
      <c r="J1" s="18" t="s">
        <v>51</v>
      </c>
      <c r="K1" s="18" t="s">
        <v>59</v>
      </c>
      <c r="L1" s="18" t="s">
        <v>29</v>
      </c>
      <c r="M1" s="16" t="s">
        <v>2</v>
      </c>
      <c r="N1" s="18" t="s">
        <v>36</v>
      </c>
      <c r="O1" s="18" t="s">
        <v>51</v>
      </c>
      <c r="P1" s="18" t="s">
        <v>59</v>
      </c>
      <c r="Q1" s="18" t="s">
        <v>29</v>
      </c>
      <c r="R1" s="16" t="s">
        <v>69</v>
      </c>
      <c r="S1" s="16" t="s">
        <v>70</v>
      </c>
      <c r="T1" s="16" t="s">
        <v>213</v>
      </c>
      <c r="U1" s="16" t="s">
        <v>71</v>
      </c>
      <c r="V1" s="16" t="s">
        <v>72</v>
      </c>
      <c r="W1" s="16" t="s">
        <v>73</v>
      </c>
      <c r="X1" s="16" t="s">
        <v>74</v>
      </c>
      <c r="Y1" s="16" t="s">
        <v>76</v>
      </c>
      <c r="Z1" s="16" t="s">
        <v>75</v>
      </c>
      <c r="AA1" s="16" t="s">
        <v>285</v>
      </c>
      <c r="AB1" s="16" t="s">
        <v>286</v>
      </c>
      <c r="AC1" s="16" t="s">
        <v>77</v>
      </c>
      <c r="AD1" s="16" t="s">
        <v>336</v>
      </c>
    </row>
    <row r="2" spans="1:30" ht="28.5" x14ac:dyDescent="0.45">
      <c r="A2" s="25">
        <v>1</v>
      </c>
      <c r="B2" s="26">
        <v>46066</v>
      </c>
      <c r="C2" s="26" t="s">
        <v>339</v>
      </c>
      <c r="D2" s="20" t="s">
        <v>67</v>
      </c>
      <c r="E2" s="20" t="s">
        <v>7</v>
      </c>
      <c r="F2" s="20" t="s">
        <v>3</v>
      </c>
      <c r="G2" s="20" t="s">
        <v>14</v>
      </c>
      <c r="H2" s="20" t="s">
        <v>10</v>
      </c>
      <c r="I2" s="19">
        <v>100</v>
      </c>
      <c r="J2" s="19">
        <v>6</v>
      </c>
      <c r="K2" s="19">
        <v>6</v>
      </c>
      <c r="L2" s="19">
        <f>I2*J2*K2</f>
        <v>3600</v>
      </c>
      <c r="M2" s="20" t="s">
        <v>4</v>
      </c>
      <c r="N2" s="19">
        <v>7</v>
      </c>
      <c r="O2" s="19">
        <v>1</v>
      </c>
      <c r="P2" s="19">
        <v>2</v>
      </c>
      <c r="Q2" s="19">
        <f>N2*O2*P2</f>
        <v>14</v>
      </c>
      <c r="R2" s="19" t="s">
        <v>212</v>
      </c>
      <c r="S2" s="19">
        <v>2024</v>
      </c>
      <c r="T2" s="19" t="s">
        <v>214</v>
      </c>
      <c r="U2" s="20" t="s">
        <v>215</v>
      </c>
      <c r="V2" s="20" t="s">
        <v>4</v>
      </c>
      <c r="W2" s="20">
        <v>2024</v>
      </c>
      <c r="X2" s="20" t="s">
        <v>216</v>
      </c>
      <c r="Y2" s="20" t="s">
        <v>217</v>
      </c>
      <c r="Z2" s="20" t="s">
        <v>218</v>
      </c>
      <c r="AA2" s="20" t="s">
        <v>310</v>
      </c>
      <c r="AB2" s="20" t="s">
        <v>309</v>
      </c>
      <c r="AC2" s="19" t="s">
        <v>307</v>
      </c>
    </row>
    <row r="3" spans="1:30" ht="28.5" x14ac:dyDescent="0.45">
      <c r="A3" s="25">
        <v>2</v>
      </c>
      <c r="B3" s="26">
        <v>46070</v>
      </c>
      <c r="C3" s="26" t="s">
        <v>339</v>
      </c>
      <c r="D3" s="20" t="s">
        <v>82</v>
      </c>
      <c r="E3" s="20" t="s">
        <v>210</v>
      </c>
      <c r="F3" s="20" t="s">
        <v>3</v>
      </c>
      <c r="G3" s="20" t="s">
        <v>14</v>
      </c>
      <c r="H3" s="20" t="s">
        <v>9</v>
      </c>
      <c r="I3" s="19">
        <v>7</v>
      </c>
      <c r="J3" s="19">
        <v>6</v>
      </c>
      <c r="K3" s="19">
        <v>6</v>
      </c>
      <c r="L3" s="19">
        <f>I3*J3*K3</f>
        <v>252</v>
      </c>
      <c r="M3" s="20" t="s">
        <v>211</v>
      </c>
      <c r="N3" s="19">
        <v>3</v>
      </c>
      <c r="O3" s="19">
        <v>0.5</v>
      </c>
      <c r="P3" s="19">
        <v>1</v>
      </c>
      <c r="Q3" s="19">
        <f>N3*O3*P3</f>
        <v>1.5</v>
      </c>
      <c r="R3" s="19" t="s">
        <v>214</v>
      </c>
      <c r="S3" s="19" t="s">
        <v>214</v>
      </c>
      <c r="T3" s="19" t="s">
        <v>212</v>
      </c>
      <c r="U3" s="20" t="s">
        <v>219</v>
      </c>
      <c r="V3" s="20" t="s">
        <v>220</v>
      </c>
      <c r="W3" s="20">
        <v>2023</v>
      </c>
      <c r="X3" s="20" t="s">
        <v>221</v>
      </c>
      <c r="Y3" s="20" t="s">
        <v>222</v>
      </c>
      <c r="Z3" s="20" t="s">
        <v>223</v>
      </c>
      <c r="AC3" s="19" t="s">
        <v>308</v>
      </c>
    </row>
    <row r="4" spans="1:30" x14ac:dyDescent="0.45">
      <c r="L4" s="19">
        <f>I4*J4*K4</f>
        <v>0</v>
      </c>
      <c r="Q4" s="19">
        <f>N4*O4*P4</f>
        <v>0</v>
      </c>
    </row>
    <row r="5" spans="1:30" x14ac:dyDescent="0.45">
      <c r="L5" s="19">
        <f>I5*J5*K5</f>
        <v>0</v>
      </c>
      <c r="Q5" s="19">
        <f>N5*O5*P5</f>
        <v>0</v>
      </c>
    </row>
    <row r="6" spans="1:30" x14ac:dyDescent="0.45">
      <c r="L6" s="19">
        <f>I6*J6*K6</f>
        <v>0</v>
      </c>
      <c r="Q6" s="19">
        <f>N6*O6*P6</f>
        <v>0</v>
      </c>
    </row>
    <row r="7" spans="1:30" x14ac:dyDescent="0.45">
      <c r="L7" s="19">
        <f>I7*J7*K7</f>
        <v>0</v>
      </c>
      <c r="Q7" s="19">
        <f>N7*O7*P7</f>
        <v>0</v>
      </c>
    </row>
    <row r="8" spans="1:30" x14ac:dyDescent="0.45">
      <c r="L8" s="19">
        <f>I8*J8*K8</f>
        <v>0</v>
      </c>
      <c r="Q8" s="19">
        <f>N8*O8*P8</f>
        <v>0</v>
      </c>
    </row>
    <row r="9" spans="1:30" x14ac:dyDescent="0.45">
      <c r="L9" s="19">
        <f>I9*J9*K9</f>
        <v>0</v>
      </c>
      <c r="Q9" s="19">
        <f>N9*O9*P9</f>
        <v>0</v>
      </c>
    </row>
    <row r="10" spans="1:30" x14ac:dyDescent="0.45">
      <c r="L10" s="19">
        <f>I10*J10*K10</f>
        <v>0</v>
      </c>
      <c r="Q10" s="19">
        <f>N10*O10*P10</f>
        <v>0</v>
      </c>
    </row>
    <row r="11" spans="1:30" x14ac:dyDescent="0.45">
      <c r="L11" s="19">
        <f>I11*J11*K11</f>
        <v>0</v>
      </c>
      <c r="Q11" s="19">
        <f>N11*O11*P11</f>
        <v>0</v>
      </c>
    </row>
    <row r="12" spans="1:30" x14ac:dyDescent="0.45">
      <c r="L12" s="19">
        <f>I12*J12*K12</f>
        <v>0</v>
      </c>
      <c r="Q12" s="19">
        <f>N12*O12*P12</f>
        <v>0</v>
      </c>
    </row>
    <row r="13" spans="1:30" x14ac:dyDescent="0.45">
      <c r="L13" s="19">
        <f>I13*J13*K13</f>
        <v>0</v>
      </c>
      <c r="Q13" s="19">
        <f>N13*O13*P13</f>
        <v>0</v>
      </c>
    </row>
    <row r="14" spans="1:30" x14ac:dyDescent="0.45">
      <c r="L14" s="19">
        <f>I14*J14*K14</f>
        <v>0</v>
      </c>
      <c r="Q14" s="19">
        <f>N14*O14*P14</f>
        <v>0</v>
      </c>
    </row>
    <row r="15" spans="1:30" x14ac:dyDescent="0.45">
      <c r="L15" s="19">
        <f>I15*J15*K15</f>
        <v>0</v>
      </c>
      <c r="Q15" s="19">
        <f>N15*O15*P15</f>
        <v>0</v>
      </c>
    </row>
    <row r="16" spans="1:30" x14ac:dyDescent="0.45">
      <c r="L16" s="19">
        <f>I16*J16*K16</f>
        <v>0</v>
      </c>
      <c r="Q16" s="19">
        <f>N16*O16*P16</f>
        <v>0</v>
      </c>
    </row>
    <row r="17" spans="12:17" x14ac:dyDescent="0.45">
      <c r="L17" s="19">
        <f>I17*J17*K17</f>
        <v>0</v>
      </c>
      <c r="Q17" s="19">
        <f>N17*O17*P17</f>
        <v>0</v>
      </c>
    </row>
    <row r="18" spans="12:17" x14ac:dyDescent="0.45">
      <c r="L18" s="19">
        <f>I18*J18*K18</f>
        <v>0</v>
      </c>
      <c r="Q18" s="19">
        <f>N18*O18*P18</f>
        <v>0</v>
      </c>
    </row>
    <row r="19" spans="12:17" x14ac:dyDescent="0.45">
      <c r="L19" s="19">
        <f>I19*J19*K19</f>
        <v>0</v>
      </c>
      <c r="Q19" s="19">
        <f>N19*O19*P19</f>
        <v>0</v>
      </c>
    </row>
    <row r="20" spans="12:17" x14ac:dyDescent="0.45">
      <c r="L20" s="19">
        <f>I20*J20*K20</f>
        <v>0</v>
      </c>
      <c r="Q20" s="19">
        <f>N20*O20*P20</f>
        <v>0</v>
      </c>
    </row>
    <row r="21" spans="12:17" x14ac:dyDescent="0.45">
      <c r="L21" s="19">
        <f>I21*J21*K21</f>
        <v>0</v>
      </c>
      <c r="Q21" s="19">
        <f>N21*O21*P21</f>
        <v>0</v>
      </c>
    </row>
    <row r="22" spans="12:17" x14ac:dyDescent="0.45">
      <c r="L22" s="19">
        <f>I22*J22*K22</f>
        <v>0</v>
      </c>
      <c r="Q22" s="19">
        <f>N22*O22*P22</f>
        <v>0</v>
      </c>
    </row>
    <row r="23" spans="12:17" x14ac:dyDescent="0.45">
      <c r="L23" s="19">
        <f>I23*J23*K23</f>
        <v>0</v>
      </c>
      <c r="Q23" s="19">
        <f>N23*O23*P23</f>
        <v>0</v>
      </c>
    </row>
    <row r="24" spans="12:17" x14ac:dyDescent="0.45">
      <c r="L24" s="19">
        <f>I24*J24*K24</f>
        <v>0</v>
      </c>
      <c r="Q24" s="19">
        <f>N24*O24*P24</f>
        <v>0</v>
      </c>
    </row>
    <row r="25" spans="12:17" x14ac:dyDescent="0.45">
      <c r="L25" s="19">
        <f>I25*J25*K25</f>
        <v>0</v>
      </c>
      <c r="Q25" s="19">
        <f>N25*O25*P25</f>
        <v>0</v>
      </c>
    </row>
    <row r="26" spans="12:17" x14ac:dyDescent="0.45">
      <c r="L26" s="19">
        <f>I26*J26*K26</f>
        <v>0</v>
      </c>
      <c r="Q26" s="19">
        <f>N26*O26*P26</f>
        <v>0</v>
      </c>
    </row>
    <row r="27" spans="12:17" x14ac:dyDescent="0.45">
      <c r="L27" s="19">
        <f>I27*J27*K27</f>
        <v>0</v>
      </c>
      <c r="Q27" s="19">
        <f>N27*O27*P27</f>
        <v>0</v>
      </c>
    </row>
    <row r="28" spans="12:17" x14ac:dyDescent="0.45">
      <c r="L28" s="19">
        <f>I28*J28*K28</f>
        <v>0</v>
      </c>
      <c r="Q28" s="19">
        <f>N28*O28*P28</f>
        <v>0</v>
      </c>
    </row>
    <row r="29" spans="12:17" x14ac:dyDescent="0.45">
      <c r="L29" s="19">
        <f>I29*J29*K29</f>
        <v>0</v>
      </c>
      <c r="Q29" s="19">
        <f>N29*O29*P29</f>
        <v>0</v>
      </c>
    </row>
    <row r="30" spans="12:17" x14ac:dyDescent="0.45">
      <c r="L30" s="19">
        <f>I30*J30*K30</f>
        <v>0</v>
      </c>
      <c r="Q30" s="19">
        <f>N30*O30*P30</f>
        <v>0</v>
      </c>
    </row>
    <row r="31" spans="12:17" x14ac:dyDescent="0.45">
      <c r="L31" s="19">
        <f>I31*J31*K31</f>
        <v>0</v>
      </c>
      <c r="Q31" s="19">
        <f>N31*O31*P31</f>
        <v>0</v>
      </c>
    </row>
    <row r="32" spans="12:17" x14ac:dyDescent="0.45">
      <c r="L32" s="19">
        <f>I32*J32*K32</f>
        <v>0</v>
      </c>
      <c r="Q32" s="19">
        <f>N32*O32*P32</f>
        <v>0</v>
      </c>
    </row>
    <row r="33" spans="12:17" x14ac:dyDescent="0.45">
      <c r="L33" s="19">
        <f>I33*J33*K33</f>
        <v>0</v>
      </c>
      <c r="Q33" s="19">
        <f>N33*O33*P33</f>
        <v>0</v>
      </c>
    </row>
    <row r="34" spans="12:17" x14ac:dyDescent="0.45">
      <c r="L34" s="19">
        <f>I34*J34*K34</f>
        <v>0</v>
      </c>
      <c r="Q34" s="19">
        <f>N34*O34*P34</f>
        <v>0</v>
      </c>
    </row>
    <row r="35" spans="12:17" x14ac:dyDescent="0.45">
      <c r="L35" s="19">
        <f>I35*J35*K35</f>
        <v>0</v>
      </c>
      <c r="Q35" s="19">
        <f>N35*O35*P35</f>
        <v>0</v>
      </c>
    </row>
    <row r="36" spans="12:17" x14ac:dyDescent="0.45">
      <c r="L36" s="19">
        <f>I36*J36*K36</f>
        <v>0</v>
      </c>
      <c r="Q36" s="19">
        <f>N36*O36*P36</f>
        <v>0</v>
      </c>
    </row>
    <row r="37" spans="12:17" x14ac:dyDescent="0.45">
      <c r="L37" s="19">
        <f>I37*J37*K37</f>
        <v>0</v>
      </c>
      <c r="Q37" s="19">
        <f>N37*O37*P37</f>
        <v>0</v>
      </c>
    </row>
    <row r="38" spans="12:17" x14ac:dyDescent="0.45">
      <c r="L38" s="19">
        <f>I38*J38*K38</f>
        <v>0</v>
      </c>
      <c r="Q38" s="19">
        <f>N38*O38*P38</f>
        <v>0</v>
      </c>
    </row>
    <row r="39" spans="12:17" x14ac:dyDescent="0.45">
      <c r="L39" s="19">
        <f>I39*J39*K39</f>
        <v>0</v>
      </c>
      <c r="Q39" s="19">
        <f>N39*O39*P39</f>
        <v>0</v>
      </c>
    </row>
    <row r="40" spans="12:17" x14ac:dyDescent="0.45">
      <c r="L40" s="19">
        <f>I40*J40*K40</f>
        <v>0</v>
      </c>
      <c r="Q40" s="19">
        <f>N40*O40*P40</f>
        <v>0</v>
      </c>
    </row>
    <row r="41" spans="12:17" x14ac:dyDescent="0.45">
      <c r="L41" s="19">
        <f>I41*J41*K41</f>
        <v>0</v>
      </c>
      <c r="Q41" s="19">
        <f>N41*O41*P41</f>
        <v>0</v>
      </c>
    </row>
    <row r="42" spans="12:17" x14ac:dyDescent="0.45">
      <c r="L42" s="19">
        <f>I42*J42*K42</f>
        <v>0</v>
      </c>
      <c r="Q42" s="19">
        <f>N42*O42*P42</f>
        <v>0</v>
      </c>
    </row>
    <row r="43" spans="12:17" x14ac:dyDescent="0.45">
      <c r="L43" s="19">
        <f>I43*J43*K43</f>
        <v>0</v>
      </c>
      <c r="Q43" s="19">
        <f>N43*O43*P43</f>
        <v>0</v>
      </c>
    </row>
    <row r="44" spans="12:17" x14ac:dyDescent="0.45">
      <c r="L44" s="19">
        <f>I44*J44*K44</f>
        <v>0</v>
      </c>
      <c r="Q44" s="19">
        <f>N44*O44*P44</f>
        <v>0</v>
      </c>
    </row>
    <row r="45" spans="12:17" x14ac:dyDescent="0.45">
      <c r="L45" s="19">
        <f>I45*J45*K45</f>
        <v>0</v>
      </c>
      <c r="Q45" s="19">
        <f>N45*O45*P45</f>
        <v>0</v>
      </c>
    </row>
    <row r="46" spans="12:17" x14ac:dyDescent="0.45">
      <c r="L46" s="19">
        <f>I46*J46*K46</f>
        <v>0</v>
      </c>
      <c r="Q46" s="19">
        <f>N46*O46*P46</f>
        <v>0</v>
      </c>
    </row>
    <row r="47" spans="12:17" x14ac:dyDescent="0.45">
      <c r="L47" s="19">
        <f>I47*J47*K47</f>
        <v>0</v>
      </c>
      <c r="Q47" s="19">
        <f>N47*O47*P47</f>
        <v>0</v>
      </c>
    </row>
    <row r="48" spans="12:17" x14ac:dyDescent="0.45">
      <c r="L48" s="19">
        <f>I48*J48*K48</f>
        <v>0</v>
      </c>
      <c r="Q48" s="19">
        <f>N48*O48*P48</f>
        <v>0</v>
      </c>
    </row>
    <row r="49" spans="12:17" x14ac:dyDescent="0.45">
      <c r="L49" s="19">
        <f>I49*J49*K49</f>
        <v>0</v>
      </c>
      <c r="Q49" s="19">
        <f>N49*O49*P49</f>
        <v>0</v>
      </c>
    </row>
    <row r="50" spans="12:17" x14ac:dyDescent="0.45">
      <c r="L50" s="19">
        <f>I50*J50*K50</f>
        <v>0</v>
      </c>
      <c r="Q50" s="19">
        <f>N50*O50*P50</f>
        <v>0</v>
      </c>
    </row>
    <row r="51" spans="12:17" x14ac:dyDescent="0.45">
      <c r="L51" s="19">
        <f>I51*J51*K51</f>
        <v>0</v>
      </c>
      <c r="Q51" s="19">
        <f>N51*O51*P51</f>
        <v>0</v>
      </c>
    </row>
    <row r="52" spans="12:17" x14ac:dyDescent="0.45">
      <c r="L52" s="19">
        <f>I52*J52*K52</f>
        <v>0</v>
      </c>
      <c r="Q52" s="19">
        <f>N52*O52*P52</f>
        <v>0</v>
      </c>
    </row>
    <row r="53" spans="12:17" x14ac:dyDescent="0.45">
      <c r="L53" s="19">
        <f>I53*J53*K53</f>
        <v>0</v>
      </c>
      <c r="Q53" s="19">
        <f>N53*O53*P53</f>
        <v>0</v>
      </c>
    </row>
    <row r="54" spans="12:17" x14ac:dyDescent="0.45">
      <c r="L54" s="19">
        <f>I54*J54*K54</f>
        <v>0</v>
      </c>
      <c r="Q54" s="19">
        <f>N54*O54*P54</f>
        <v>0</v>
      </c>
    </row>
    <row r="55" spans="12:17" x14ac:dyDescent="0.45">
      <c r="L55" s="19">
        <f>I55*J55*K55</f>
        <v>0</v>
      </c>
      <c r="Q55" s="19">
        <f>N55*O55*P55</f>
        <v>0</v>
      </c>
    </row>
    <row r="56" spans="12:17" x14ac:dyDescent="0.45">
      <c r="L56" s="19">
        <f>I56*J56*K56</f>
        <v>0</v>
      </c>
      <c r="Q56" s="19">
        <f>N56*O56*P56</f>
        <v>0</v>
      </c>
    </row>
    <row r="57" spans="12:17" x14ac:dyDescent="0.45">
      <c r="L57" s="19">
        <f>I57*J57*K57</f>
        <v>0</v>
      </c>
      <c r="Q57" s="19">
        <f>N57*O57*P57</f>
        <v>0</v>
      </c>
    </row>
    <row r="58" spans="12:17" x14ac:dyDescent="0.45">
      <c r="L58" s="19">
        <f>I58*J58*K58</f>
        <v>0</v>
      </c>
      <c r="Q58" s="19">
        <f>N58*O58*P58</f>
        <v>0</v>
      </c>
    </row>
    <row r="59" spans="12:17" x14ac:dyDescent="0.45">
      <c r="L59" s="19">
        <f>I59*J59*K59</f>
        <v>0</v>
      </c>
      <c r="Q59" s="19">
        <f>N59*O59*P59</f>
        <v>0</v>
      </c>
    </row>
    <row r="60" spans="12:17" x14ac:dyDescent="0.45">
      <c r="L60" s="19">
        <f>I60*J60*K60</f>
        <v>0</v>
      </c>
      <c r="Q60" s="19">
        <f>N60*O60*P60</f>
        <v>0</v>
      </c>
    </row>
    <row r="61" spans="12:17" x14ac:dyDescent="0.45">
      <c r="L61" s="19">
        <f>I61*J61*K61</f>
        <v>0</v>
      </c>
      <c r="Q61" s="19">
        <f>N61*O61*P61</f>
        <v>0</v>
      </c>
    </row>
    <row r="62" spans="12:17" x14ac:dyDescent="0.45">
      <c r="L62" s="19">
        <f>I62*J62*K62</f>
        <v>0</v>
      </c>
      <c r="Q62" s="19">
        <f>N62*O62*P62</f>
        <v>0</v>
      </c>
    </row>
    <row r="63" spans="12:17" x14ac:dyDescent="0.45">
      <c r="L63" s="19">
        <f>I63*J63*K63</f>
        <v>0</v>
      </c>
      <c r="Q63" s="19">
        <f>N63*O63*P63</f>
        <v>0</v>
      </c>
    </row>
    <row r="64" spans="12:17" x14ac:dyDescent="0.45">
      <c r="L64" s="19">
        <f>I64*J64*K64</f>
        <v>0</v>
      </c>
      <c r="Q64" s="19">
        <f>N64*O64*P64</f>
        <v>0</v>
      </c>
    </row>
    <row r="65" spans="12:17" x14ac:dyDescent="0.45">
      <c r="L65" s="19">
        <f>I65*J65*K65</f>
        <v>0</v>
      </c>
      <c r="Q65" s="19">
        <f>N65*O65*P65</f>
        <v>0</v>
      </c>
    </row>
    <row r="66" spans="12:17" x14ac:dyDescent="0.45">
      <c r="L66" s="19">
        <f>I66*J66*K66</f>
        <v>0</v>
      </c>
      <c r="Q66" s="19">
        <f>N66*O66*P66</f>
        <v>0</v>
      </c>
    </row>
    <row r="67" spans="12:17" x14ac:dyDescent="0.45">
      <c r="L67" s="19">
        <f>I67*J67*K67</f>
        <v>0</v>
      </c>
      <c r="Q67" s="19">
        <f>N67*O67*P67</f>
        <v>0</v>
      </c>
    </row>
    <row r="68" spans="12:17" x14ac:dyDescent="0.45">
      <c r="L68" s="19">
        <f>I68*J68*K68</f>
        <v>0</v>
      </c>
      <c r="Q68" s="19">
        <f>N68*O68*P68</f>
        <v>0</v>
      </c>
    </row>
    <row r="69" spans="12:17" x14ac:dyDescent="0.45">
      <c r="L69" s="19">
        <f>I69*J69*K69</f>
        <v>0</v>
      </c>
      <c r="Q69" s="19">
        <f>N69*O69*P69</f>
        <v>0</v>
      </c>
    </row>
    <row r="70" spans="12:17" x14ac:dyDescent="0.45">
      <c r="L70" s="19">
        <f>I70*J70*K70</f>
        <v>0</v>
      </c>
      <c r="Q70" s="19">
        <f>N70*O70*P70</f>
        <v>0</v>
      </c>
    </row>
    <row r="71" spans="12:17" x14ac:dyDescent="0.45">
      <c r="L71" s="19">
        <f>I71*J71*K71</f>
        <v>0</v>
      </c>
      <c r="Q71" s="19">
        <f>N71*O71*P71</f>
        <v>0</v>
      </c>
    </row>
    <row r="72" spans="12:17" x14ac:dyDescent="0.45">
      <c r="L72" s="19">
        <f>I72*J72*K72</f>
        <v>0</v>
      </c>
      <c r="Q72" s="19">
        <f>N72*O72*P72</f>
        <v>0</v>
      </c>
    </row>
    <row r="73" spans="12:17" x14ac:dyDescent="0.45">
      <c r="L73" s="19">
        <f>I73*J73*K73</f>
        <v>0</v>
      </c>
      <c r="Q73" s="19">
        <f>N73*O73*P73</f>
        <v>0</v>
      </c>
    </row>
    <row r="74" spans="12:17" x14ac:dyDescent="0.45">
      <c r="L74" s="19">
        <f>I74*J74*K74</f>
        <v>0</v>
      </c>
      <c r="Q74" s="19">
        <f>N74*O74*P74</f>
        <v>0</v>
      </c>
    </row>
    <row r="75" spans="12:17" x14ac:dyDescent="0.45">
      <c r="L75" s="19">
        <f>I75*J75*K75</f>
        <v>0</v>
      </c>
      <c r="Q75" s="19">
        <f>N75*O75*P75</f>
        <v>0</v>
      </c>
    </row>
    <row r="76" spans="12:17" x14ac:dyDescent="0.45">
      <c r="L76" s="19">
        <f>I76*J76*K76</f>
        <v>0</v>
      </c>
      <c r="Q76" s="19">
        <f>N76*O76*P76</f>
        <v>0</v>
      </c>
    </row>
    <row r="77" spans="12:17" x14ac:dyDescent="0.45">
      <c r="L77" s="19">
        <f>I77*J77*K77</f>
        <v>0</v>
      </c>
      <c r="Q77" s="19">
        <f>N77*O77*P77</f>
        <v>0</v>
      </c>
    </row>
    <row r="78" spans="12:17" x14ac:dyDescent="0.45">
      <c r="L78" s="19">
        <f>I78*J78*K78</f>
        <v>0</v>
      </c>
      <c r="Q78" s="19">
        <f>N78*O78*P78</f>
        <v>0</v>
      </c>
    </row>
    <row r="79" spans="12:17" x14ac:dyDescent="0.45">
      <c r="L79" s="19">
        <f>I79*J79*K79</f>
        <v>0</v>
      </c>
      <c r="Q79" s="19">
        <f>N79*O79*P79</f>
        <v>0</v>
      </c>
    </row>
    <row r="80" spans="12:17" x14ac:dyDescent="0.45">
      <c r="L80" s="19">
        <f>I80*J80*K80</f>
        <v>0</v>
      </c>
      <c r="Q80" s="19">
        <f>N80*O80*P80</f>
        <v>0</v>
      </c>
    </row>
    <row r="81" spans="12:17" x14ac:dyDescent="0.45">
      <c r="L81" s="19">
        <f>I81*J81*K81</f>
        <v>0</v>
      </c>
      <c r="Q81" s="19">
        <f>N81*O81*P81</f>
        <v>0</v>
      </c>
    </row>
    <row r="82" spans="12:17" x14ac:dyDescent="0.45">
      <c r="L82" s="19">
        <f>I82*J82*K82</f>
        <v>0</v>
      </c>
      <c r="Q82" s="19">
        <f>N82*O82*P82</f>
        <v>0</v>
      </c>
    </row>
    <row r="83" spans="12:17" x14ac:dyDescent="0.45">
      <c r="L83" s="19">
        <f>I83*J83*K83</f>
        <v>0</v>
      </c>
      <c r="Q83" s="19">
        <f>N83*O83*P83</f>
        <v>0</v>
      </c>
    </row>
    <row r="84" spans="12:17" x14ac:dyDescent="0.45">
      <c r="L84" s="19">
        <f>I84*J84*K84</f>
        <v>0</v>
      </c>
      <c r="Q84" s="19">
        <f>N84*O84*P84</f>
        <v>0</v>
      </c>
    </row>
    <row r="85" spans="12:17" x14ac:dyDescent="0.45">
      <c r="L85" s="19">
        <f>I85*J85*K85</f>
        <v>0</v>
      </c>
      <c r="Q85" s="19">
        <f>N85*O85*P85</f>
        <v>0</v>
      </c>
    </row>
    <row r="86" spans="12:17" x14ac:dyDescent="0.45">
      <c r="L86" s="19">
        <f>I86*J86*K86</f>
        <v>0</v>
      </c>
      <c r="Q86" s="19">
        <f>N86*O86*P86</f>
        <v>0</v>
      </c>
    </row>
    <row r="87" spans="12:17" x14ac:dyDescent="0.45">
      <c r="L87" s="19">
        <f>I87*J87*K87</f>
        <v>0</v>
      </c>
      <c r="Q87" s="19">
        <f>N87*O87*P87</f>
        <v>0</v>
      </c>
    </row>
    <row r="88" spans="12:17" x14ac:dyDescent="0.45">
      <c r="L88" s="19">
        <f>I88*J88*K88</f>
        <v>0</v>
      </c>
      <c r="Q88" s="19">
        <f>N88*O88*P88</f>
        <v>0</v>
      </c>
    </row>
    <row r="89" spans="12:17" x14ac:dyDescent="0.45">
      <c r="L89" s="19">
        <f>I89*J89*K89</f>
        <v>0</v>
      </c>
      <c r="Q89" s="19">
        <f>N89*O89*P89</f>
        <v>0</v>
      </c>
    </row>
    <row r="90" spans="12:17" x14ac:dyDescent="0.45">
      <c r="L90" s="19">
        <f>I90*J90*K90</f>
        <v>0</v>
      </c>
      <c r="Q90" s="19">
        <f>N90*O90*P90</f>
        <v>0</v>
      </c>
    </row>
    <row r="91" spans="12:17" x14ac:dyDescent="0.45">
      <c r="L91" s="19">
        <f>I91*J91*K91</f>
        <v>0</v>
      </c>
      <c r="Q91" s="19">
        <f>N91*O91*P91</f>
        <v>0</v>
      </c>
    </row>
    <row r="92" spans="12:17" x14ac:dyDescent="0.45">
      <c r="L92" s="19">
        <f>I92*J92*K92</f>
        <v>0</v>
      </c>
      <c r="Q92" s="19">
        <f>N92*O92*P92</f>
        <v>0</v>
      </c>
    </row>
    <row r="93" spans="12:17" x14ac:dyDescent="0.45">
      <c r="L93" s="19">
        <f>I93*J93*K93</f>
        <v>0</v>
      </c>
      <c r="Q93" s="19">
        <f>N93*O93*P93</f>
        <v>0</v>
      </c>
    </row>
    <row r="94" spans="12:17" x14ac:dyDescent="0.45">
      <c r="L94" s="19">
        <f>I94*J94*K94</f>
        <v>0</v>
      </c>
      <c r="Q94" s="19">
        <f>N94*O94*P94</f>
        <v>0</v>
      </c>
    </row>
    <row r="95" spans="12:17" x14ac:dyDescent="0.45">
      <c r="L95" s="19">
        <f>I95*J95*K95</f>
        <v>0</v>
      </c>
      <c r="Q95" s="19">
        <f>N95*O95*P95</f>
        <v>0</v>
      </c>
    </row>
    <row r="96" spans="12:17" x14ac:dyDescent="0.45">
      <c r="L96" s="19">
        <f>I96*J96*K96</f>
        <v>0</v>
      </c>
      <c r="Q96" s="19">
        <f>N96*O96*P96</f>
        <v>0</v>
      </c>
    </row>
    <row r="97" spans="12:17" x14ac:dyDescent="0.45">
      <c r="L97" s="19">
        <f>I97*J97*K97</f>
        <v>0</v>
      </c>
      <c r="Q97" s="19">
        <f>N97*O97*P97</f>
        <v>0</v>
      </c>
    </row>
    <row r="98" spans="12:17" x14ac:dyDescent="0.45">
      <c r="L98" s="19">
        <f>I98*J98*K98</f>
        <v>0</v>
      </c>
      <c r="Q98" s="19">
        <f>N98*O98*P98</f>
        <v>0</v>
      </c>
    </row>
    <row r="99" spans="12:17" x14ac:dyDescent="0.45">
      <c r="L99" s="19">
        <f>I99*J99*K99</f>
        <v>0</v>
      </c>
      <c r="Q99" s="19">
        <f>N99*O99*P99</f>
        <v>0</v>
      </c>
    </row>
    <row r="100" spans="12:17" x14ac:dyDescent="0.45">
      <c r="L100" s="19">
        <f>I100*J100*K100</f>
        <v>0</v>
      </c>
      <c r="Q100" s="19">
        <f>N100*O100*P100</f>
        <v>0</v>
      </c>
    </row>
    <row r="101" spans="12:17" x14ac:dyDescent="0.45">
      <c r="L101" s="19">
        <f>I101*J101*K101</f>
        <v>0</v>
      </c>
      <c r="Q101" s="19">
        <f>N101*O101*P101</f>
        <v>0</v>
      </c>
    </row>
    <row r="102" spans="12:17" x14ac:dyDescent="0.45">
      <c r="L102" s="19">
        <f>I102*J102*K102</f>
        <v>0</v>
      </c>
      <c r="Q102" s="19">
        <f>N102*O102*P102</f>
        <v>0</v>
      </c>
    </row>
    <row r="103" spans="12:17" x14ac:dyDescent="0.45">
      <c r="L103" s="19">
        <f>I103*J103*K103</f>
        <v>0</v>
      </c>
      <c r="Q103" s="19">
        <f>N103*O103*P103</f>
        <v>0</v>
      </c>
    </row>
    <row r="104" spans="12:17" x14ac:dyDescent="0.45">
      <c r="L104" s="19">
        <f>I104*J104*K104</f>
        <v>0</v>
      </c>
      <c r="Q104" s="19">
        <f>N104*O104*P104</f>
        <v>0</v>
      </c>
    </row>
    <row r="105" spans="12:17" x14ac:dyDescent="0.45">
      <c r="L105" s="19">
        <f>I105*J105*K105</f>
        <v>0</v>
      </c>
      <c r="Q105" s="19">
        <f>N105*O105*P105</f>
        <v>0</v>
      </c>
    </row>
    <row r="106" spans="12:17" x14ac:dyDescent="0.45">
      <c r="L106" s="19">
        <f>I106*J106*K106</f>
        <v>0</v>
      </c>
      <c r="Q106" s="19">
        <f>N106*O106*P106</f>
        <v>0</v>
      </c>
    </row>
    <row r="107" spans="12:17" x14ac:dyDescent="0.45">
      <c r="L107" s="19">
        <f>I107*J107*K107</f>
        <v>0</v>
      </c>
      <c r="Q107" s="19">
        <f>N107*O107*P107</f>
        <v>0</v>
      </c>
    </row>
    <row r="108" spans="12:17" x14ac:dyDescent="0.45">
      <c r="L108" s="19">
        <f>I108*J108*K108</f>
        <v>0</v>
      </c>
      <c r="Q108" s="19">
        <f>N108*O108*P108</f>
        <v>0</v>
      </c>
    </row>
    <row r="109" spans="12:17" x14ac:dyDescent="0.45">
      <c r="L109" s="19">
        <f>I109*J109*K109</f>
        <v>0</v>
      </c>
      <c r="Q109" s="19">
        <f>N109*O109*P109</f>
        <v>0</v>
      </c>
    </row>
    <row r="110" spans="12:17" x14ac:dyDescent="0.45">
      <c r="L110" s="19">
        <f>I110*J110*K110</f>
        <v>0</v>
      </c>
      <c r="Q110" s="19">
        <f>N110*O110*P110</f>
        <v>0</v>
      </c>
    </row>
    <row r="111" spans="12:17" x14ac:dyDescent="0.45">
      <c r="L111" s="19">
        <f>I111*J111*K111</f>
        <v>0</v>
      </c>
      <c r="Q111" s="19">
        <f>N111*O111*P111</f>
        <v>0</v>
      </c>
    </row>
    <row r="112" spans="12:17" x14ac:dyDescent="0.45">
      <c r="L112" s="19">
        <f>I112*J112*K112</f>
        <v>0</v>
      </c>
      <c r="Q112" s="19">
        <f>N112*O112*P112</f>
        <v>0</v>
      </c>
    </row>
    <row r="113" spans="12:17" x14ac:dyDescent="0.45">
      <c r="L113" s="19">
        <f>I113*J113*K113</f>
        <v>0</v>
      </c>
      <c r="Q113" s="19">
        <f>N113*O113*P113</f>
        <v>0</v>
      </c>
    </row>
    <row r="114" spans="12:17" x14ac:dyDescent="0.45">
      <c r="L114" s="19">
        <f>I114*J114*K114</f>
        <v>0</v>
      </c>
      <c r="Q114" s="19">
        <f>N114*O114*P114</f>
        <v>0</v>
      </c>
    </row>
    <row r="115" spans="12:17" x14ac:dyDescent="0.45">
      <c r="L115" s="19">
        <f>I115*J115*K115</f>
        <v>0</v>
      </c>
      <c r="Q115" s="19">
        <f>N115*O115*P115</f>
        <v>0</v>
      </c>
    </row>
    <row r="116" spans="12:17" x14ac:dyDescent="0.45">
      <c r="L116" s="19">
        <f>I116*J116*K116</f>
        <v>0</v>
      </c>
      <c r="Q116" s="19">
        <f>N116*O116*P116</f>
        <v>0</v>
      </c>
    </row>
    <row r="117" spans="12:17" x14ac:dyDescent="0.45">
      <c r="L117" s="19">
        <f>I117*J117*K117</f>
        <v>0</v>
      </c>
      <c r="Q117" s="19">
        <f>N117*O117*P117</f>
        <v>0</v>
      </c>
    </row>
    <row r="118" spans="12:17" x14ac:dyDescent="0.45">
      <c r="L118" s="19">
        <f>I118*J118*K118</f>
        <v>0</v>
      </c>
      <c r="Q118" s="19">
        <f>N118*O118*P118</f>
        <v>0</v>
      </c>
    </row>
    <row r="119" spans="12:17" x14ac:dyDescent="0.45">
      <c r="L119" s="19">
        <f>I119*J119*K119</f>
        <v>0</v>
      </c>
      <c r="Q119" s="19">
        <f>N119*O119*P119</f>
        <v>0</v>
      </c>
    </row>
    <row r="120" spans="12:17" x14ac:dyDescent="0.45">
      <c r="L120" s="19">
        <f>I120*J120*K120</f>
        <v>0</v>
      </c>
      <c r="Q120" s="19">
        <f>N120*O120*P120</f>
        <v>0</v>
      </c>
    </row>
    <row r="121" spans="12:17" x14ac:dyDescent="0.45">
      <c r="L121" s="19">
        <f>I121*J121*K121</f>
        <v>0</v>
      </c>
      <c r="Q121" s="19">
        <f>N121*O121*P121</f>
        <v>0</v>
      </c>
    </row>
    <row r="122" spans="12:17" x14ac:dyDescent="0.45">
      <c r="L122" s="19">
        <f>I122*J122*K122</f>
        <v>0</v>
      </c>
      <c r="Q122" s="19">
        <f>N122*O122*P122</f>
        <v>0</v>
      </c>
    </row>
    <row r="123" spans="12:17" x14ac:dyDescent="0.45">
      <c r="L123" s="19">
        <f>I123*J123*K123</f>
        <v>0</v>
      </c>
      <c r="Q123" s="19">
        <f>N123*O123*P123</f>
        <v>0</v>
      </c>
    </row>
    <row r="124" spans="12:17" x14ac:dyDescent="0.45">
      <c r="L124" s="19">
        <f>I124*J124*K124</f>
        <v>0</v>
      </c>
      <c r="Q124" s="19">
        <f>N124*O124*P124</f>
        <v>0</v>
      </c>
    </row>
    <row r="125" spans="12:17" x14ac:dyDescent="0.45">
      <c r="L125" s="19">
        <f>I125*J125*K125</f>
        <v>0</v>
      </c>
      <c r="Q125" s="19">
        <f>N125*O125*P125</f>
        <v>0</v>
      </c>
    </row>
    <row r="126" spans="12:17" x14ac:dyDescent="0.45">
      <c r="L126" s="19">
        <f>I126*J126*K126</f>
        <v>0</v>
      </c>
      <c r="Q126" s="19">
        <f>N126*O126*P126</f>
        <v>0</v>
      </c>
    </row>
    <row r="127" spans="12:17" x14ac:dyDescent="0.45">
      <c r="L127" s="19">
        <f>I127*J127*K127</f>
        <v>0</v>
      </c>
      <c r="Q127" s="19">
        <f>N127*O127*P127</f>
        <v>0</v>
      </c>
    </row>
    <row r="128" spans="12:17" x14ac:dyDescent="0.45">
      <c r="L128" s="19">
        <f>I128*J128*K128</f>
        <v>0</v>
      </c>
      <c r="Q128" s="19">
        <f>N128*O128*P128</f>
        <v>0</v>
      </c>
    </row>
    <row r="129" spans="12:17" x14ac:dyDescent="0.45">
      <c r="L129" s="19">
        <f>I129*J129*K129</f>
        <v>0</v>
      </c>
      <c r="Q129" s="19">
        <f>N129*O129*P129</f>
        <v>0</v>
      </c>
    </row>
    <row r="130" spans="12:17" x14ac:dyDescent="0.45">
      <c r="L130" s="19">
        <f>I130*J130*K130</f>
        <v>0</v>
      </c>
      <c r="Q130" s="19">
        <f>N130*O130*P130</f>
        <v>0</v>
      </c>
    </row>
    <row r="131" spans="12:17" x14ac:dyDescent="0.45">
      <c r="L131" s="19">
        <f>I131*J131*K131</f>
        <v>0</v>
      </c>
      <c r="Q131" s="19">
        <f>N131*O131*P131</f>
        <v>0</v>
      </c>
    </row>
    <row r="132" spans="12:17" x14ac:dyDescent="0.45">
      <c r="L132" s="19">
        <f>I132*J132*K132</f>
        <v>0</v>
      </c>
      <c r="Q132" s="19">
        <f>N132*O132*P132</f>
        <v>0</v>
      </c>
    </row>
    <row r="133" spans="12:17" x14ac:dyDescent="0.45">
      <c r="L133" s="19">
        <f>I133*J133*K133</f>
        <v>0</v>
      </c>
      <c r="Q133" s="19">
        <f>N133*O133*P133</f>
        <v>0</v>
      </c>
    </row>
    <row r="134" spans="12:17" x14ac:dyDescent="0.45">
      <c r="L134" s="19">
        <f>I134*J134*K134</f>
        <v>0</v>
      </c>
      <c r="Q134" s="19">
        <f>N134*O134*P134</f>
        <v>0</v>
      </c>
    </row>
    <row r="135" spans="12:17" x14ac:dyDescent="0.45">
      <c r="L135" s="19">
        <f>I135*J135*K135</f>
        <v>0</v>
      </c>
      <c r="Q135" s="19">
        <f>N135*O135*P135</f>
        <v>0</v>
      </c>
    </row>
    <row r="136" spans="12:17" x14ac:dyDescent="0.45">
      <c r="L136" s="19">
        <f>I136*J136*K136</f>
        <v>0</v>
      </c>
      <c r="Q136" s="19">
        <f>N136*O136*P136</f>
        <v>0</v>
      </c>
    </row>
    <row r="137" spans="12:17" x14ac:dyDescent="0.45">
      <c r="L137" s="19">
        <f>I137*J137*K137</f>
        <v>0</v>
      </c>
      <c r="Q137" s="19">
        <f>N137*O137*P137</f>
        <v>0</v>
      </c>
    </row>
    <row r="138" spans="12:17" x14ac:dyDescent="0.45">
      <c r="L138" s="19">
        <f>I138*J138*K138</f>
        <v>0</v>
      </c>
      <c r="Q138" s="19">
        <f>N138*O138*P138</f>
        <v>0</v>
      </c>
    </row>
    <row r="139" spans="12:17" x14ac:dyDescent="0.45">
      <c r="L139" s="19">
        <f>I139*J139*K139</f>
        <v>0</v>
      </c>
      <c r="Q139" s="19">
        <f>N139*O139*P139</f>
        <v>0</v>
      </c>
    </row>
    <row r="140" spans="12:17" x14ac:dyDescent="0.45">
      <c r="L140" s="19">
        <f>I140*J140*K140</f>
        <v>0</v>
      </c>
      <c r="Q140" s="19">
        <f>N140*O140*P140</f>
        <v>0</v>
      </c>
    </row>
    <row r="141" spans="12:17" x14ac:dyDescent="0.45">
      <c r="L141" s="19">
        <f>I141*J141*K141</f>
        <v>0</v>
      </c>
      <c r="Q141" s="19">
        <f>N141*O141*P141</f>
        <v>0</v>
      </c>
    </row>
    <row r="142" spans="12:17" x14ac:dyDescent="0.45">
      <c r="L142" s="19">
        <f>I142*J142*K142</f>
        <v>0</v>
      </c>
      <c r="Q142" s="19">
        <f>N142*O142*P142</f>
        <v>0</v>
      </c>
    </row>
    <row r="143" spans="12:17" x14ac:dyDescent="0.45">
      <c r="L143" s="19">
        <f>I143*J143*K143</f>
        <v>0</v>
      </c>
      <c r="Q143" s="19">
        <f>N143*O143*P143</f>
        <v>0</v>
      </c>
    </row>
    <row r="144" spans="12:17" x14ac:dyDescent="0.45">
      <c r="L144" s="19">
        <f>I144*J144*K144</f>
        <v>0</v>
      </c>
      <c r="Q144" s="19">
        <f>N144*O144*P144</f>
        <v>0</v>
      </c>
    </row>
    <row r="145" spans="12:17" x14ac:dyDescent="0.45">
      <c r="L145" s="19">
        <f>I145*J145*K145</f>
        <v>0</v>
      </c>
      <c r="Q145" s="19">
        <f>N145*O145*P145</f>
        <v>0</v>
      </c>
    </row>
    <row r="146" spans="12:17" x14ac:dyDescent="0.45">
      <c r="L146" s="19">
        <f>I146*J146*K146</f>
        <v>0</v>
      </c>
      <c r="Q146" s="19">
        <f>N146*O146*P146</f>
        <v>0</v>
      </c>
    </row>
    <row r="147" spans="12:17" x14ac:dyDescent="0.45">
      <c r="L147" s="19">
        <f>I147*J147*K147</f>
        <v>0</v>
      </c>
      <c r="Q147" s="19">
        <f>N147*O147*P147</f>
        <v>0</v>
      </c>
    </row>
    <row r="148" spans="12:17" x14ac:dyDescent="0.45">
      <c r="L148" s="19">
        <f>I148*J148*K148</f>
        <v>0</v>
      </c>
      <c r="Q148" s="19">
        <f>N148*O148*P148</f>
        <v>0</v>
      </c>
    </row>
    <row r="149" spans="12:17" x14ac:dyDescent="0.45">
      <c r="L149" s="19">
        <f>I149*J149*K149</f>
        <v>0</v>
      </c>
      <c r="Q149" s="19">
        <f>N149*O149*P149</f>
        <v>0</v>
      </c>
    </row>
    <row r="150" spans="12:17" x14ac:dyDescent="0.45">
      <c r="L150" s="19">
        <f>I150*J150*K150</f>
        <v>0</v>
      </c>
      <c r="Q150" s="19">
        <f>N150*O150*P150</f>
        <v>0</v>
      </c>
    </row>
    <row r="151" spans="12:17" x14ac:dyDescent="0.45">
      <c r="L151" s="19">
        <f>I151*J151*K151</f>
        <v>0</v>
      </c>
      <c r="Q151" s="19">
        <f>N151*O151*P151</f>
        <v>0</v>
      </c>
    </row>
    <row r="152" spans="12:17" x14ac:dyDescent="0.45">
      <c r="L152" s="19">
        <f>I152*J152*K152</f>
        <v>0</v>
      </c>
      <c r="Q152" s="19">
        <f>N152*O152*P152</f>
        <v>0</v>
      </c>
    </row>
    <row r="153" spans="12:17" x14ac:dyDescent="0.45">
      <c r="L153" s="19">
        <f>I153*J153*K153</f>
        <v>0</v>
      </c>
      <c r="Q153" s="19">
        <f>N153*O153*P153</f>
        <v>0</v>
      </c>
    </row>
    <row r="154" spans="12:17" x14ac:dyDescent="0.45">
      <c r="L154" s="19">
        <f>I154*J154*K154</f>
        <v>0</v>
      </c>
      <c r="Q154" s="19">
        <f>N154*O154*P154</f>
        <v>0</v>
      </c>
    </row>
    <row r="155" spans="12:17" x14ac:dyDescent="0.45">
      <c r="L155" s="19">
        <f>I155*J155*K155</f>
        <v>0</v>
      </c>
      <c r="Q155" s="19">
        <f>N155*O155*P155</f>
        <v>0</v>
      </c>
    </row>
    <row r="156" spans="12:17" x14ac:dyDescent="0.45">
      <c r="L156" s="19">
        <f>I156*J156*K156</f>
        <v>0</v>
      </c>
      <c r="Q156" s="19">
        <f>N156*O156*P156</f>
        <v>0</v>
      </c>
    </row>
    <row r="157" spans="12:17" x14ac:dyDescent="0.45">
      <c r="L157" s="19">
        <f>I157*J157*K157</f>
        <v>0</v>
      </c>
      <c r="Q157" s="19">
        <f>N157*O157*P157</f>
        <v>0</v>
      </c>
    </row>
    <row r="158" spans="12:17" x14ac:dyDescent="0.45">
      <c r="L158" s="19">
        <f>I158*J158*K158</f>
        <v>0</v>
      </c>
      <c r="Q158" s="19">
        <f>N158*O158*P158</f>
        <v>0</v>
      </c>
    </row>
    <row r="159" spans="12:17" x14ac:dyDescent="0.45">
      <c r="L159" s="19">
        <f>I159*J159*K159</f>
        <v>0</v>
      </c>
      <c r="Q159" s="19">
        <f>N159*O159*P159</f>
        <v>0</v>
      </c>
    </row>
    <row r="160" spans="12:17" x14ac:dyDescent="0.45">
      <c r="L160" s="19">
        <f>I160*J160*K160</f>
        <v>0</v>
      </c>
      <c r="Q160" s="19">
        <f>N160*O160*P160</f>
        <v>0</v>
      </c>
    </row>
    <row r="161" spans="12:17" x14ac:dyDescent="0.45">
      <c r="L161" s="19">
        <f>I161*J161*K161</f>
        <v>0</v>
      </c>
      <c r="Q161" s="19">
        <f>N161*O161*P161</f>
        <v>0</v>
      </c>
    </row>
    <row r="162" spans="12:17" x14ac:dyDescent="0.45">
      <c r="L162" s="19">
        <f>I162*J162*K162</f>
        <v>0</v>
      </c>
      <c r="Q162" s="19">
        <f>N162*O162*P162</f>
        <v>0</v>
      </c>
    </row>
    <row r="163" spans="12:17" x14ac:dyDescent="0.45">
      <c r="L163" s="19">
        <f>I163*J163*K163</f>
        <v>0</v>
      </c>
      <c r="Q163" s="19">
        <f>N163*O163*P163</f>
        <v>0</v>
      </c>
    </row>
    <row r="164" spans="12:17" x14ac:dyDescent="0.45">
      <c r="L164" s="19">
        <f>I164*J164*K164</f>
        <v>0</v>
      </c>
      <c r="Q164" s="19">
        <f>N164*O164*P164</f>
        <v>0</v>
      </c>
    </row>
    <row r="165" spans="12:17" x14ac:dyDescent="0.45">
      <c r="L165" s="19">
        <f>I165*J165*K165</f>
        <v>0</v>
      </c>
      <c r="Q165" s="19">
        <f>N165*O165*P165</f>
        <v>0</v>
      </c>
    </row>
    <row r="166" spans="12:17" x14ac:dyDescent="0.45">
      <c r="L166" s="19">
        <f>I166*J166*K166</f>
        <v>0</v>
      </c>
      <c r="Q166" s="19">
        <f>N166*O166*P166</f>
        <v>0</v>
      </c>
    </row>
    <row r="167" spans="12:17" x14ac:dyDescent="0.45">
      <c r="L167" s="19">
        <f>I167*J167*K167</f>
        <v>0</v>
      </c>
      <c r="Q167" s="19">
        <f>N167*O167*P167</f>
        <v>0</v>
      </c>
    </row>
    <row r="168" spans="12:17" x14ac:dyDescent="0.45">
      <c r="L168" s="19">
        <f>I168*J168*K168</f>
        <v>0</v>
      </c>
      <c r="Q168" s="19">
        <f>N168*O168*P168</f>
        <v>0</v>
      </c>
    </row>
    <row r="169" spans="12:17" x14ac:dyDescent="0.45">
      <c r="L169" s="19">
        <f>I169*J169*K169</f>
        <v>0</v>
      </c>
      <c r="Q169" s="19">
        <f>N169*O169*P169</f>
        <v>0</v>
      </c>
    </row>
    <row r="170" spans="12:17" x14ac:dyDescent="0.45">
      <c r="L170" s="19">
        <f>I170*J170*K170</f>
        <v>0</v>
      </c>
      <c r="Q170" s="19">
        <f>N170*O170*P170</f>
        <v>0</v>
      </c>
    </row>
    <row r="171" spans="12:17" x14ac:dyDescent="0.45">
      <c r="L171" s="19">
        <f>I171*J171*K171</f>
        <v>0</v>
      </c>
      <c r="Q171" s="19">
        <f>N171*O171*P171</f>
        <v>0</v>
      </c>
    </row>
    <row r="172" spans="12:17" x14ac:dyDescent="0.45">
      <c r="L172" s="19">
        <f>I172*J172*K172</f>
        <v>0</v>
      </c>
      <c r="Q172" s="19">
        <f>N172*O172*P172</f>
        <v>0</v>
      </c>
    </row>
    <row r="173" spans="12:17" x14ac:dyDescent="0.45">
      <c r="L173" s="19">
        <f>I173*J173*K173</f>
        <v>0</v>
      </c>
      <c r="Q173" s="19">
        <f>N173*O173*P173</f>
        <v>0</v>
      </c>
    </row>
    <row r="174" spans="12:17" x14ac:dyDescent="0.45">
      <c r="L174" s="19">
        <f>I174*J174*K174</f>
        <v>0</v>
      </c>
      <c r="Q174" s="19">
        <f>N174*O174*P174</f>
        <v>0</v>
      </c>
    </row>
    <row r="175" spans="12:17" x14ac:dyDescent="0.45">
      <c r="L175" s="19">
        <f>I175*J175*K175</f>
        <v>0</v>
      </c>
      <c r="Q175" s="19">
        <f>N175*O175*P175</f>
        <v>0</v>
      </c>
    </row>
    <row r="176" spans="12:17" x14ac:dyDescent="0.45">
      <c r="L176" s="19">
        <f>I176*J176*K176</f>
        <v>0</v>
      </c>
      <c r="Q176" s="19">
        <f>N176*O176*P176</f>
        <v>0</v>
      </c>
    </row>
    <row r="177" spans="12:17" x14ac:dyDescent="0.45">
      <c r="L177" s="19">
        <f>I177*J177*K177</f>
        <v>0</v>
      </c>
      <c r="Q177" s="19">
        <f>N177*O177*P177</f>
        <v>0</v>
      </c>
    </row>
    <row r="178" spans="12:17" x14ac:dyDescent="0.45">
      <c r="L178" s="19">
        <f>I178*J178*K178</f>
        <v>0</v>
      </c>
      <c r="Q178" s="19">
        <f>N178*O178*P178</f>
        <v>0</v>
      </c>
    </row>
    <row r="179" spans="12:17" x14ac:dyDescent="0.45">
      <c r="L179" s="19">
        <f>I179*J179*K179</f>
        <v>0</v>
      </c>
      <c r="Q179" s="19">
        <f>N179*O179*P179</f>
        <v>0</v>
      </c>
    </row>
    <row r="180" spans="12:17" x14ac:dyDescent="0.45">
      <c r="L180" s="19">
        <f>I180*J180*K180</f>
        <v>0</v>
      </c>
      <c r="Q180" s="19">
        <f>N180*O180*P180</f>
        <v>0</v>
      </c>
    </row>
    <row r="181" spans="12:17" x14ac:dyDescent="0.45">
      <c r="L181" s="19">
        <f>I181*J181*K181</f>
        <v>0</v>
      </c>
      <c r="Q181" s="19">
        <f>N181*O181*P181</f>
        <v>0</v>
      </c>
    </row>
    <row r="182" spans="12:17" x14ac:dyDescent="0.45">
      <c r="L182" s="19">
        <f>I182*J182*K182</f>
        <v>0</v>
      </c>
      <c r="Q182" s="19">
        <f>N182*O182*P182</f>
        <v>0</v>
      </c>
    </row>
    <row r="183" spans="12:17" x14ac:dyDescent="0.45">
      <c r="L183" s="19">
        <f>I183*J183*K183</f>
        <v>0</v>
      </c>
      <c r="Q183" s="19">
        <f>N183*O183*P183</f>
        <v>0</v>
      </c>
    </row>
    <row r="184" spans="12:17" x14ac:dyDescent="0.45">
      <c r="L184" s="19">
        <f>I184*J184*K184</f>
        <v>0</v>
      </c>
      <c r="Q184" s="19">
        <f>N184*O184*P184</f>
        <v>0</v>
      </c>
    </row>
    <row r="185" spans="12:17" x14ac:dyDescent="0.45">
      <c r="L185" s="19">
        <f>I185*J185*K185</f>
        <v>0</v>
      </c>
      <c r="Q185" s="19">
        <f>N185*O185*P185</f>
        <v>0</v>
      </c>
    </row>
    <row r="186" spans="12:17" x14ac:dyDescent="0.45">
      <c r="L186" s="19">
        <f>I186*J186*K186</f>
        <v>0</v>
      </c>
      <c r="Q186" s="19">
        <f>N186*O186*P186</f>
        <v>0</v>
      </c>
    </row>
    <row r="187" spans="12:17" x14ac:dyDescent="0.45">
      <c r="L187" s="19">
        <f>I187*J187*K187</f>
        <v>0</v>
      </c>
      <c r="Q187" s="19">
        <f>N187*O187*P187</f>
        <v>0</v>
      </c>
    </row>
    <row r="188" spans="12:17" x14ac:dyDescent="0.45">
      <c r="L188" s="19">
        <f>I188*J188*K188</f>
        <v>0</v>
      </c>
      <c r="Q188" s="19">
        <f>N188*O188*P188</f>
        <v>0</v>
      </c>
    </row>
    <row r="189" spans="12:17" x14ac:dyDescent="0.45">
      <c r="L189" s="19">
        <f>I189*J189*K189</f>
        <v>0</v>
      </c>
      <c r="Q189" s="19">
        <f>N189*O189*P189</f>
        <v>0</v>
      </c>
    </row>
    <row r="190" spans="12:17" x14ac:dyDescent="0.45">
      <c r="L190" s="19">
        <f>I190*J190*K190</f>
        <v>0</v>
      </c>
      <c r="Q190" s="19">
        <f>N190*O190*P190</f>
        <v>0</v>
      </c>
    </row>
    <row r="191" spans="12:17" x14ac:dyDescent="0.45">
      <c r="L191" s="19">
        <f>I191*J191*K191</f>
        <v>0</v>
      </c>
      <c r="Q191" s="19">
        <f>N191*O191*P191</f>
        <v>0</v>
      </c>
    </row>
    <row r="192" spans="12:17" x14ac:dyDescent="0.45">
      <c r="L192" s="19">
        <f>I192*J192*K192</f>
        <v>0</v>
      </c>
      <c r="Q192" s="19">
        <f>N192*O192*P192</f>
        <v>0</v>
      </c>
    </row>
    <row r="193" spans="12:17" x14ac:dyDescent="0.45">
      <c r="L193" s="19">
        <f>I193*J193*K193</f>
        <v>0</v>
      </c>
      <c r="Q193" s="19">
        <f>N193*O193*P193</f>
        <v>0</v>
      </c>
    </row>
    <row r="194" spans="12:17" x14ac:dyDescent="0.45">
      <c r="L194" s="19">
        <f>I194*J194*K194</f>
        <v>0</v>
      </c>
      <c r="Q194" s="19">
        <f>N194*O194*P194</f>
        <v>0</v>
      </c>
    </row>
    <row r="195" spans="12:17" x14ac:dyDescent="0.45">
      <c r="L195" s="19">
        <f>I195*J195*K195</f>
        <v>0</v>
      </c>
      <c r="Q195" s="19">
        <f>N195*O195*P195</f>
        <v>0</v>
      </c>
    </row>
    <row r="196" spans="12:17" x14ac:dyDescent="0.45">
      <c r="L196" s="19">
        <f>I196*J196*K196</f>
        <v>0</v>
      </c>
      <c r="Q196" s="19">
        <f>N196*O196*P196</f>
        <v>0</v>
      </c>
    </row>
    <row r="197" spans="12:17" x14ac:dyDescent="0.45">
      <c r="L197" s="19">
        <f>I197*J197*K197</f>
        <v>0</v>
      </c>
      <c r="Q197" s="19">
        <f>N197*O197*P197</f>
        <v>0</v>
      </c>
    </row>
    <row r="198" spans="12:17" x14ac:dyDescent="0.45">
      <c r="L198" s="19">
        <f>I198*J198*K198</f>
        <v>0</v>
      </c>
      <c r="Q198" s="19">
        <f>N198*O198*P198</f>
        <v>0</v>
      </c>
    </row>
    <row r="199" spans="12:17" x14ac:dyDescent="0.45">
      <c r="L199" s="19">
        <f>I199*J199*K199</f>
        <v>0</v>
      </c>
      <c r="Q199" s="19">
        <f>N199*O199*P199</f>
        <v>0</v>
      </c>
    </row>
    <row r="200" spans="12:17" x14ac:dyDescent="0.45">
      <c r="L200" s="19">
        <f>I200*J200*K200</f>
        <v>0</v>
      </c>
      <c r="Q200" s="19">
        <f>N200*O200*P200</f>
        <v>0</v>
      </c>
    </row>
  </sheetData>
  <autoFilter ref="A1:AD200" xr:uid="{A3BC8332-EE8E-4310-8B0B-99AE512CF65F}"/>
  <dataConsolidate/>
  <conditionalFormatting sqref="L1:L1048576">
    <cfRule type="cellIs" priority="11" operator="equal">
      <formula>"''"</formula>
    </cfRule>
    <cfRule type="cellIs" dxfId="19" priority="17" operator="lessThan">
      <formula>20</formula>
    </cfRule>
    <cfRule type="cellIs" dxfId="18" priority="18" operator="between">
      <formula>199</formula>
      <formula>20</formula>
    </cfRule>
  </conditionalFormatting>
  <conditionalFormatting sqref="L2:L1048576">
    <cfRule type="cellIs" dxfId="17" priority="19" operator="greaterThan">
      <formula>400</formula>
    </cfRule>
    <cfRule type="cellIs" dxfId="16" priority="21" operator="greaterThan">
      <formula>400</formula>
    </cfRule>
  </conditionalFormatting>
  <conditionalFormatting sqref="L3:L4">
    <cfRule type="cellIs" dxfId="15" priority="20" operator="between">
      <formula>399</formula>
      <formula>200</formula>
    </cfRule>
  </conditionalFormatting>
  <conditionalFormatting sqref="I1">
    <cfRule type="cellIs" dxfId="14" priority="5" operator="lessThan">
      <formula>20</formula>
    </cfRule>
    <cfRule type="cellIs" dxfId="13" priority="6" operator="between">
      <formula>199</formula>
      <formula>20</formula>
    </cfRule>
  </conditionalFormatting>
  <conditionalFormatting sqref="I2:I1048576">
    <cfRule type="cellIs" dxfId="12" priority="10" operator="greaterThan">
      <formula>40</formula>
    </cfRule>
  </conditionalFormatting>
  <conditionalFormatting sqref="Q1:Q1048576">
    <cfRule type="cellIs" dxfId="11" priority="12" operator="lessThan">
      <formula>20</formula>
    </cfRule>
    <cfRule type="cellIs" dxfId="10" priority="13" operator="between">
      <formula>199</formula>
      <formula>20</formula>
    </cfRule>
  </conditionalFormatting>
  <conditionalFormatting sqref="Q2:Q1048576">
    <cfRule type="cellIs" dxfId="9" priority="14" operator="greaterThan">
      <formula>400</formula>
    </cfRule>
    <cfRule type="cellIs" dxfId="8" priority="16" operator="greaterThan">
      <formula>400</formula>
    </cfRule>
  </conditionalFormatting>
  <conditionalFormatting sqref="Q3">
    <cfRule type="cellIs" dxfId="7" priority="15" operator="between">
      <formula>399</formula>
      <formula>200</formula>
    </cfRule>
  </conditionalFormatting>
  <conditionalFormatting sqref="N1">
    <cfRule type="cellIs" dxfId="6" priority="7" operator="lessThan">
      <formula>20</formula>
    </cfRule>
    <cfRule type="cellIs" dxfId="5" priority="8" operator="between">
      <formula>199</formula>
      <formula>20</formula>
    </cfRule>
  </conditionalFormatting>
  <conditionalFormatting sqref="N2:N1048576">
    <cfRule type="cellIs" dxfId="4" priority="9" operator="greaterThan">
      <formula>40</formula>
    </cfRule>
  </conditionalFormatting>
  <conditionalFormatting sqref="AC1:AC1048576">
    <cfRule type="cellIs" dxfId="3" priority="3" operator="equal">
      <formula>"NO"</formula>
    </cfRule>
    <cfRule type="cellIs" dxfId="2" priority="4" operator="equal">
      <formula>"YES"</formula>
    </cfRule>
  </conditionalFormatting>
  <conditionalFormatting sqref="AD1">
    <cfRule type="cellIs" dxfId="1" priority="1" operator="equal">
      <formula>"NO"</formula>
    </cfRule>
    <cfRule type="cellIs" dxfId="0" priority="2" operator="equal">
      <formula>"YES"</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EBF637B6-C415-4B2A-802F-3B4F213D185B}">
          <x14:formula1>
            <xm:f>Dangers!$A:$A</xm:f>
          </x14:formula1>
          <xm:sqref>D1:D1048576</xm:sqref>
        </x14:dataValidation>
        <x14:dataValidation type="list" allowBlank="1" showInputMessage="1" showErrorMessage="1" xr:uid="{CF57FF8F-8AE9-4B1A-ACF0-390559957151}">
          <x14:formula1>
            <xm:f>Acteurs!$A:$A</xm:f>
          </x14:formula1>
          <xm:sqref>G1:G1048576</xm:sqref>
        </x14:dataValidation>
        <x14:dataValidation type="list" allowBlank="1" showInputMessage="1" showErrorMessage="1" xr:uid="{8CC16298-8359-44C5-8FCC-8B3488B2A9A3}">
          <x14:formula1>
            <xm:f>'Niveau prevention'!$A:$A</xm:f>
          </x14:formula1>
          <xm:sqref>H1:H1048576</xm:sqref>
        </x14:dataValidation>
        <x14:dataValidation type="list" allowBlank="1" showInputMessage="1" showErrorMessage="1" xr:uid="{388F9582-E6CC-4ACF-82F2-EB684C6CF8E9}">
          <x14:formula1>
            <xm:f>'Kinney Gravité x '!$A:$A</xm:f>
          </x14:formula1>
          <xm:sqref>I1:I1048576 N1:N1048576</xm:sqref>
        </x14:dataValidation>
        <x14:dataValidation type="list" allowBlank="1" showInputMessage="1" showErrorMessage="1" xr:uid="{B0D8C06A-61FE-4917-9099-8E4424A757C5}">
          <x14:formula1>
            <xm:f>'Probabilte x '!$A:$A</xm:f>
          </x14:formula1>
          <xm:sqref>J1:J1048576 O1:O1048576</xm:sqref>
        </x14:dataValidation>
        <x14:dataValidation type="list" allowBlank="1" showInputMessage="1" showErrorMessage="1" xr:uid="{1951BF6C-203C-4851-9925-3CC5C7E072C8}">
          <x14:formula1>
            <xm:f>Exposition!$A:$A</xm:f>
          </x14:formula1>
          <xm:sqref>K1:L1048576 P1:Q1048576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662C2-A891-4EEA-84CF-AE241AB0535B}">
  <sheetPr>
    <tabColor theme="1"/>
  </sheetPr>
  <dimension ref="A1:E45"/>
  <sheetViews>
    <sheetView workbookViewId="0"/>
  </sheetViews>
  <sheetFormatPr baseColWidth="10" defaultRowHeight="14.25" x14ac:dyDescent="0.45"/>
  <cols>
    <col min="1" max="1" width="18.59765625" style="14" customWidth="1"/>
    <col min="2" max="2" width="59.73046875" style="14" customWidth="1"/>
    <col min="3" max="3" width="55.73046875" style="14" customWidth="1"/>
    <col min="4" max="4" width="54.73046875" style="2" customWidth="1"/>
  </cols>
  <sheetData>
    <row r="1" spans="1:3" x14ac:dyDescent="0.45">
      <c r="A1" s="15" t="s">
        <v>287</v>
      </c>
      <c r="B1" s="15" t="s">
        <v>288</v>
      </c>
      <c r="C1" s="15" t="s">
        <v>306</v>
      </c>
    </row>
    <row r="2" spans="1:3" ht="28.5" x14ac:dyDescent="0.45">
      <c r="A2" s="6" t="s">
        <v>322</v>
      </c>
      <c r="B2" s="6" t="s">
        <v>329</v>
      </c>
      <c r="C2" s="6" t="s">
        <v>330</v>
      </c>
    </row>
    <row r="3" spans="1:3" ht="28.5" x14ac:dyDescent="0.45">
      <c r="A3" s="6" t="s">
        <v>323</v>
      </c>
      <c r="B3" s="6" t="s">
        <v>328</v>
      </c>
      <c r="C3" s="6" t="s">
        <v>331</v>
      </c>
    </row>
    <row r="4" spans="1:3" ht="42.75" x14ac:dyDescent="0.45">
      <c r="A4" s="6" t="s">
        <v>324</v>
      </c>
      <c r="B4" s="6" t="s">
        <v>327</v>
      </c>
      <c r="C4" s="6" t="s">
        <v>332</v>
      </c>
    </row>
    <row r="5" spans="1:3" ht="42.75" x14ac:dyDescent="0.45">
      <c r="A5" s="6" t="s">
        <v>325</v>
      </c>
      <c r="B5" s="6" t="s">
        <v>326</v>
      </c>
      <c r="C5" s="6" t="s">
        <v>333</v>
      </c>
    </row>
    <row r="6" spans="1:3" ht="42.75" x14ac:dyDescent="0.45">
      <c r="A6" s="6" t="s">
        <v>289</v>
      </c>
      <c r="B6" s="6" t="s">
        <v>258</v>
      </c>
      <c r="C6" s="6" t="s">
        <v>259</v>
      </c>
    </row>
    <row r="7" spans="1:3" x14ac:dyDescent="0.45">
      <c r="A7" s="6" t="s">
        <v>260</v>
      </c>
      <c r="B7" s="6" t="s">
        <v>260</v>
      </c>
      <c r="C7" s="6" t="s">
        <v>261</v>
      </c>
    </row>
    <row r="8" spans="1:3" x14ac:dyDescent="0.45">
      <c r="A8" s="6" t="s">
        <v>291</v>
      </c>
      <c r="B8" s="6" t="s">
        <v>297</v>
      </c>
      <c r="C8" s="6" t="s">
        <v>292</v>
      </c>
    </row>
    <row r="9" spans="1:3" x14ac:dyDescent="0.45">
      <c r="A9" s="6" t="s">
        <v>290</v>
      </c>
      <c r="B9" s="6" t="s">
        <v>298</v>
      </c>
      <c r="C9" s="6" t="s">
        <v>292</v>
      </c>
    </row>
    <row r="10" spans="1:3" x14ac:dyDescent="0.45">
      <c r="A10" s="6" t="s">
        <v>293</v>
      </c>
      <c r="B10" s="6" t="s">
        <v>299</v>
      </c>
      <c r="C10" s="6" t="s">
        <v>292</v>
      </c>
    </row>
    <row r="11" spans="1:3" x14ac:dyDescent="0.45">
      <c r="A11" s="6" t="s">
        <v>294</v>
      </c>
      <c r="B11" s="6" t="s">
        <v>300</v>
      </c>
      <c r="C11" s="6" t="s">
        <v>292</v>
      </c>
    </row>
    <row r="12" spans="1:3" x14ac:dyDescent="0.45">
      <c r="A12" s="6" t="s">
        <v>12</v>
      </c>
      <c r="B12" s="6" t="s">
        <v>301</v>
      </c>
      <c r="C12" s="6"/>
    </row>
    <row r="13" spans="1:3" x14ac:dyDescent="0.45">
      <c r="A13" s="6" t="s">
        <v>302</v>
      </c>
      <c r="B13" s="6" t="s">
        <v>304</v>
      </c>
      <c r="C13" s="6" t="s">
        <v>305</v>
      </c>
    </row>
    <row r="14" spans="1:3" x14ac:dyDescent="0.45">
      <c r="A14" s="6" t="s">
        <v>5</v>
      </c>
      <c r="B14" s="6" t="s">
        <v>303</v>
      </c>
      <c r="C14" s="6"/>
    </row>
    <row r="15" spans="1:3" x14ac:dyDescent="0.45">
      <c r="A15" s="6"/>
      <c r="B15" s="6"/>
      <c r="C15" s="6"/>
    </row>
    <row r="16" spans="1:3" x14ac:dyDescent="0.45">
      <c r="A16" s="15" t="s">
        <v>295</v>
      </c>
      <c r="B16" s="15" t="s">
        <v>296</v>
      </c>
      <c r="C16" s="15" t="s">
        <v>306</v>
      </c>
    </row>
    <row r="17" spans="1:5" x14ac:dyDescent="0.45">
      <c r="A17" s="6" t="s">
        <v>224</v>
      </c>
      <c r="B17" s="6" t="s">
        <v>316</v>
      </c>
      <c r="C17" s="6"/>
    </row>
    <row r="18" spans="1:5" x14ac:dyDescent="0.45">
      <c r="A18" s="6" t="s">
        <v>225</v>
      </c>
      <c r="B18" s="6" t="s">
        <v>317</v>
      </c>
      <c r="C18" s="6"/>
    </row>
    <row r="19" spans="1:5" ht="42.75" x14ac:dyDescent="0.45">
      <c r="A19" s="6" t="s">
        <v>226</v>
      </c>
      <c r="B19" s="6" t="s">
        <v>5</v>
      </c>
      <c r="C19" s="6" t="s">
        <v>246</v>
      </c>
    </row>
    <row r="20" spans="1:5" x14ac:dyDescent="0.45">
      <c r="A20" s="6" t="s">
        <v>227</v>
      </c>
      <c r="B20" s="6" t="s">
        <v>247</v>
      </c>
      <c r="C20" s="6"/>
    </row>
    <row r="21" spans="1:5" x14ac:dyDescent="0.45">
      <c r="A21" s="6" t="s">
        <v>228</v>
      </c>
      <c r="B21" s="6" t="s">
        <v>68</v>
      </c>
      <c r="C21" s="6"/>
    </row>
    <row r="22" spans="1:5" x14ac:dyDescent="0.45">
      <c r="A22" s="6" t="s">
        <v>229</v>
      </c>
      <c r="B22" s="6" t="s">
        <v>248</v>
      </c>
      <c r="C22" s="6" t="s">
        <v>334</v>
      </c>
    </row>
    <row r="23" spans="1:5" ht="28.5" x14ac:dyDescent="0.45">
      <c r="A23" s="6" t="s">
        <v>230</v>
      </c>
      <c r="B23" s="6" t="s">
        <v>249</v>
      </c>
      <c r="C23" s="6" t="s">
        <v>335</v>
      </c>
    </row>
    <row r="24" spans="1:5" ht="57" x14ac:dyDescent="0.45">
      <c r="A24" s="6" t="s">
        <v>231</v>
      </c>
      <c r="B24" s="6" t="s">
        <v>252</v>
      </c>
      <c r="C24" s="6" t="s">
        <v>251</v>
      </c>
    </row>
    <row r="25" spans="1:5" ht="28.5" x14ac:dyDescent="0.45">
      <c r="A25" s="6" t="s">
        <v>232</v>
      </c>
      <c r="B25" s="6" t="s">
        <v>256</v>
      </c>
      <c r="C25" s="6" t="s">
        <v>254</v>
      </c>
    </row>
    <row r="26" spans="1:5" ht="28.5" x14ac:dyDescent="0.45">
      <c r="A26" s="6" t="s">
        <v>233</v>
      </c>
      <c r="B26" s="6" t="s">
        <v>257</v>
      </c>
      <c r="C26" s="6" t="s">
        <v>254</v>
      </c>
    </row>
    <row r="27" spans="1:5" ht="28.5" x14ac:dyDescent="0.45">
      <c r="A27" s="6" t="s">
        <v>234</v>
      </c>
      <c r="B27" s="6" t="s">
        <v>253</v>
      </c>
      <c r="C27" s="6" t="s">
        <v>254</v>
      </c>
    </row>
    <row r="28" spans="1:5" ht="42.75" x14ac:dyDescent="0.45">
      <c r="A28" s="6" t="s">
        <v>235</v>
      </c>
      <c r="B28" s="6" t="s">
        <v>262</v>
      </c>
      <c r="C28" s="6" t="s">
        <v>263</v>
      </c>
    </row>
    <row r="29" spans="1:5" ht="57" x14ac:dyDescent="0.45">
      <c r="A29" s="6" t="s">
        <v>236</v>
      </c>
      <c r="B29" s="6" t="s">
        <v>264</v>
      </c>
      <c r="C29" s="6" t="s">
        <v>251</v>
      </c>
    </row>
    <row r="30" spans="1:5" ht="28.5" x14ac:dyDescent="0.45">
      <c r="A30" s="6" t="s">
        <v>237</v>
      </c>
      <c r="B30" s="6" t="s">
        <v>265</v>
      </c>
      <c r="C30" s="6" t="s">
        <v>254</v>
      </c>
      <c r="E30" t="s">
        <v>250</v>
      </c>
    </row>
    <row r="31" spans="1:5" ht="28.5" x14ac:dyDescent="0.45">
      <c r="A31" s="6" t="s">
        <v>238</v>
      </c>
      <c r="B31" s="6" t="s">
        <v>266</v>
      </c>
      <c r="C31" s="6" t="s">
        <v>254</v>
      </c>
      <c r="E31" t="s">
        <v>255</v>
      </c>
    </row>
    <row r="32" spans="1:5" ht="28.5" x14ac:dyDescent="0.45">
      <c r="A32" s="6" t="s">
        <v>239</v>
      </c>
      <c r="B32" s="6" t="s">
        <v>267</v>
      </c>
      <c r="C32" s="6" t="s">
        <v>254</v>
      </c>
      <c r="E32" t="s">
        <v>255</v>
      </c>
    </row>
    <row r="33" spans="1:5" x14ac:dyDescent="0.45">
      <c r="A33" s="6" t="s">
        <v>240</v>
      </c>
      <c r="B33" s="6" t="s">
        <v>268</v>
      </c>
      <c r="C33" s="6"/>
      <c r="E33" t="s">
        <v>255</v>
      </c>
    </row>
    <row r="34" spans="1:5" x14ac:dyDescent="0.45">
      <c r="A34" s="6" t="s">
        <v>241</v>
      </c>
      <c r="B34" s="6" t="s">
        <v>269</v>
      </c>
      <c r="C34" s="6" t="s">
        <v>270</v>
      </c>
    </row>
    <row r="35" spans="1:5" x14ac:dyDescent="0.45">
      <c r="A35" s="6" t="s">
        <v>242</v>
      </c>
      <c r="B35" s="6" t="s">
        <v>271</v>
      </c>
      <c r="C35" s="6"/>
    </row>
    <row r="36" spans="1:5" x14ac:dyDescent="0.45">
      <c r="A36" s="6" t="s">
        <v>243</v>
      </c>
      <c r="B36" s="6" t="s">
        <v>272</v>
      </c>
      <c r="C36" s="6"/>
    </row>
    <row r="37" spans="1:5" x14ac:dyDescent="0.45">
      <c r="A37" s="6" t="s">
        <v>244</v>
      </c>
      <c r="B37" s="6" t="s">
        <v>273</v>
      </c>
      <c r="C37" s="6"/>
    </row>
    <row r="38" spans="1:5" x14ac:dyDescent="0.45">
      <c r="A38" s="6" t="s">
        <v>245</v>
      </c>
      <c r="B38" s="6" t="s">
        <v>274</v>
      </c>
      <c r="C38" s="6"/>
    </row>
    <row r="39" spans="1:5" ht="28.5" x14ac:dyDescent="0.45">
      <c r="A39" s="6" t="s">
        <v>278</v>
      </c>
      <c r="B39" s="6" t="s">
        <v>275</v>
      </c>
      <c r="C39" s="6"/>
    </row>
    <row r="40" spans="1:5" x14ac:dyDescent="0.45">
      <c r="A40" s="6" t="s">
        <v>282</v>
      </c>
      <c r="B40" s="6" t="s">
        <v>280</v>
      </c>
      <c r="C40" s="6"/>
    </row>
    <row r="41" spans="1:5" x14ac:dyDescent="0.45">
      <c r="A41" s="6" t="s">
        <v>283</v>
      </c>
      <c r="B41" s="6" t="s">
        <v>281</v>
      </c>
      <c r="C41" s="6"/>
    </row>
    <row r="42" spans="1:5" x14ac:dyDescent="0.45">
      <c r="A42" s="6" t="s">
        <v>284</v>
      </c>
      <c r="B42" s="6" t="s">
        <v>277</v>
      </c>
      <c r="C42" s="6"/>
    </row>
    <row r="43" spans="1:5" x14ac:dyDescent="0.45">
      <c r="A43" s="6" t="s">
        <v>318</v>
      </c>
      <c r="B43" s="6" t="s">
        <v>279</v>
      </c>
      <c r="C43" s="6"/>
    </row>
    <row r="44" spans="1:5" x14ac:dyDescent="0.45">
      <c r="A44" s="6" t="s">
        <v>319</v>
      </c>
      <c r="B44" s="6" t="s">
        <v>276</v>
      </c>
      <c r="C44" s="6"/>
    </row>
    <row r="45" spans="1:5" x14ac:dyDescent="0.45">
      <c r="A45" s="6" t="s">
        <v>337</v>
      </c>
      <c r="B45" s="6" t="s">
        <v>336</v>
      </c>
      <c r="C45" s="6"/>
    </row>
  </sheetData>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8E7D9-097E-430E-A99A-4022006F7903}">
  <sheetPr>
    <tabColor rgb="FFFF0000"/>
  </sheetPr>
  <dimension ref="A1:C6"/>
  <sheetViews>
    <sheetView workbookViewId="0"/>
  </sheetViews>
  <sheetFormatPr baseColWidth="10" defaultRowHeight="14.25" x14ac:dyDescent="0.45"/>
  <cols>
    <col min="1" max="1" width="24" customWidth="1"/>
    <col min="2" max="2" width="22.265625" style="2" customWidth="1"/>
    <col min="3" max="3" width="77.265625" customWidth="1"/>
  </cols>
  <sheetData>
    <row r="1" spans="1:3" x14ac:dyDescent="0.45">
      <c r="A1" s="3" t="s">
        <v>23</v>
      </c>
      <c r="B1" s="4" t="s">
        <v>24</v>
      </c>
      <c r="C1" s="3" t="s">
        <v>24</v>
      </c>
    </row>
    <row r="2" spans="1:3" ht="42.75" x14ac:dyDescent="0.45">
      <c r="A2" s="5" t="s">
        <v>18</v>
      </c>
      <c r="B2" s="6" t="s">
        <v>30</v>
      </c>
      <c r="C2" s="6" t="s">
        <v>31</v>
      </c>
    </row>
    <row r="3" spans="1:3" ht="42.75" x14ac:dyDescent="0.45">
      <c r="A3" s="7" t="s">
        <v>19</v>
      </c>
      <c r="B3" s="6" t="s">
        <v>25</v>
      </c>
      <c r="C3" s="6" t="s">
        <v>32</v>
      </c>
    </row>
    <row r="4" spans="1:3" ht="57" x14ac:dyDescent="0.45">
      <c r="A4" s="8" t="s">
        <v>20</v>
      </c>
      <c r="B4" s="6" t="s">
        <v>26</v>
      </c>
      <c r="C4" s="6" t="s">
        <v>33</v>
      </c>
    </row>
    <row r="5" spans="1:3" ht="85.5" x14ac:dyDescent="0.45">
      <c r="A5" s="8" t="s">
        <v>21</v>
      </c>
      <c r="B5" s="6" t="s">
        <v>27</v>
      </c>
      <c r="C5" s="6" t="s">
        <v>34</v>
      </c>
    </row>
    <row r="6" spans="1:3" ht="57" x14ac:dyDescent="0.45">
      <c r="A6" s="9" t="s">
        <v>22</v>
      </c>
      <c r="B6" s="6" t="s">
        <v>28</v>
      </c>
      <c r="C6" s="6" t="s">
        <v>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FE46D-4EE3-4938-AA44-AFA4DE3617FB}">
  <sheetPr>
    <tabColor rgb="FFFF0000"/>
  </sheetPr>
  <dimension ref="A1:C7"/>
  <sheetViews>
    <sheetView workbookViewId="0">
      <selection sqref="A1:C7"/>
    </sheetView>
  </sheetViews>
  <sheetFormatPr baseColWidth="10" defaultRowHeight="14.25" x14ac:dyDescent="0.45"/>
  <cols>
    <col min="2" max="2" width="46.33203125" customWidth="1"/>
    <col min="3" max="3" width="45.46484375" customWidth="1"/>
  </cols>
  <sheetData>
    <row r="1" spans="1:3" x14ac:dyDescent="0.45">
      <c r="A1" s="3" t="s">
        <v>36</v>
      </c>
      <c r="B1" s="3" t="s">
        <v>39</v>
      </c>
      <c r="C1" s="3" t="s">
        <v>40</v>
      </c>
    </row>
    <row r="2" spans="1:3" x14ac:dyDescent="0.45">
      <c r="A2" s="11">
        <v>100</v>
      </c>
      <c r="B2" s="11" t="s">
        <v>37</v>
      </c>
      <c r="C2" s="11" t="s">
        <v>38</v>
      </c>
    </row>
    <row r="3" spans="1:3" x14ac:dyDescent="0.45">
      <c r="A3" s="11">
        <v>40</v>
      </c>
      <c r="B3" s="11" t="s">
        <v>41</v>
      </c>
      <c r="C3" s="11" t="s">
        <v>46</v>
      </c>
    </row>
    <row r="4" spans="1:3" x14ac:dyDescent="0.45">
      <c r="A4" s="11">
        <v>15</v>
      </c>
      <c r="B4" s="11" t="s">
        <v>42</v>
      </c>
      <c r="C4" s="11" t="s">
        <v>47</v>
      </c>
    </row>
    <row r="5" spans="1:3" x14ac:dyDescent="0.45">
      <c r="A5" s="11">
        <v>7</v>
      </c>
      <c r="B5" s="11" t="s">
        <v>43</v>
      </c>
      <c r="C5" s="11" t="s">
        <v>48</v>
      </c>
    </row>
    <row r="6" spans="1:3" x14ac:dyDescent="0.45">
      <c r="A6" s="11">
        <v>3</v>
      </c>
      <c r="B6" s="11" t="s">
        <v>44</v>
      </c>
      <c r="C6" s="11" t="s">
        <v>49</v>
      </c>
    </row>
    <row r="7" spans="1:3" x14ac:dyDescent="0.45">
      <c r="A7" s="11">
        <v>1</v>
      </c>
      <c r="B7" s="11" t="s">
        <v>45</v>
      </c>
      <c r="C7" s="11" t="s">
        <v>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4664-D34C-4BEF-9CD1-965124379C61}">
  <sheetPr>
    <tabColor rgb="FFFF0000"/>
  </sheetPr>
  <dimension ref="A1:B8"/>
  <sheetViews>
    <sheetView workbookViewId="0">
      <selection sqref="A1:B8"/>
    </sheetView>
  </sheetViews>
  <sheetFormatPr baseColWidth="10" defaultRowHeight="14.25" x14ac:dyDescent="0.45"/>
  <cols>
    <col min="2" max="2" width="107.796875" customWidth="1"/>
  </cols>
  <sheetData>
    <row r="1" spans="1:2" x14ac:dyDescent="0.45">
      <c r="A1" s="10" t="s">
        <v>51</v>
      </c>
      <c r="B1" s="10" t="s">
        <v>66</v>
      </c>
    </row>
    <row r="2" spans="1:2" x14ac:dyDescent="0.45">
      <c r="A2" s="11">
        <v>10</v>
      </c>
      <c r="B2" s="11" t="s">
        <v>52</v>
      </c>
    </row>
    <row r="3" spans="1:2" x14ac:dyDescent="0.45">
      <c r="A3" s="11">
        <v>6</v>
      </c>
      <c r="B3" s="11" t="s">
        <v>53</v>
      </c>
    </row>
    <row r="4" spans="1:2" x14ac:dyDescent="0.45">
      <c r="A4" s="11">
        <v>3</v>
      </c>
      <c r="B4" s="11" t="s">
        <v>54</v>
      </c>
    </row>
    <row r="5" spans="1:2" x14ac:dyDescent="0.45">
      <c r="A5" s="11">
        <v>1</v>
      </c>
      <c r="B5" s="11" t="s">
        <v>55</v>
      </c>
    </row>
    <row r="6" spans="1:2" x14ac:dyDescent="0.45">
      <c r="A6" s="11">
        <v>0.5</v>
      </c>
      <c r="B6" s="11" t="s">
        <v>56</v>
      </c>
    </row>
    <row r="7" spans="1:2" x14ac:dyDescent="0.45">
      <c r="A7" s="11">
        <v>0.2</v>
      </c>
      <c r="B7" s="11" t="s">
        <v>57</v>
      </c>
    </row>
    <row r="8" spans="1:2" x14ac:dyDescent="0.45">
      <c r="A8" s="11">
        <v>0.1</v>
      </c>
      <c r="B8" s="11" t="s">
        <v>58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A515-4A2A-49CA-B5CD-1F9E1D25EC95}">
  <sheetPr>
    <tabColor rgb="FFFF0000"/>
  </sheetPr>
  <dimension ref="A1:B7"/>
  <sheetViews>
    <sheetView workbookViewId="0">
      <selection activeCell="A11" sqref="A11"/>
    </sheetView>
  </sheetViews>
  <sheetFormatPr baseColWidth="10" defaultRowHeight="14.25" x14ac:dyDescent="0.45"/>
  <cols>
    <col min="2" max="2" width="61.9296875" customWidth="1"/>
  </cols>
  <sheetData>
    <row r="1" spans="1:2" x14ac:dyDescent="0.45">
      <c r="A1" s="10" t="s">
        <v>59</v>
      </c>
      <c r="B1" s="10" t="s">
        <v>66</v>
      </c>
    </row>
    <row r="2" spans="1:2" x14ac:dyDescent="0.45">
      <c r="A2" s="11">
        <v>10</v>
      </c>
      <c r="B2" s="11" t="s">
        <v>60</v>
      </c>
    </row>
    <row r="3" spans="1:2" x14ac:dyDescent="0.45">
      <c r="A3" s="11">
        <v>6</v>
      </c>
      <c r="B3" s="11" t="s">
        <v>61</v>
      </c>
    </row>
    <row r="4" spans="1:2" x14ac:dyDescent="0.45">
      <c r="A4" s="11">
        <v>3</v>
      </c>
      <c r="B4" s="11" t="s">
        <v>62</v>
      </c>
    </row>
    <row r="5" spans="1:2" x14ac:dyDescent="0.45">
      <c r="A5" s="11">
        <v>2</v>
      </c>
      <c r="B5" s="11" t="s">
        <v>63</v>
      </c>
    </row>
    <row r="6" spans="1:2" x14ac:dyDescent="0.45">
      <c r="A6" s="11">
        <v>1</v>
      </c>
      <c r="B6" s="11" t="s">
        <v>64</v>
      </c>
    </row>
    <row r="7" spans="1:2" x14ac:dyDescent="0.45">
      <c r="A7" s="11">
        <v>0.5</v>
      </c>
      <c r="B7" s="11" t="s">
        <v>65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C82B0-C36C-49A9-90D9-78D5A09B051E}">
  <sheetPr>
    <tabColor rgb="FF002060"/>
  </sheetPr>
  <dimension ref="A1:A6"/>
  <sheetViews>
    <sheetView workbookViewId="0">
      <selection sqref="A1:XFD1"/>
    </sheetView>
  </sheetViews>
  <sheetFormatPr baseColWidth="10" defaultRowHeight="14.25" x14ac:dyDescent="0.45"/>
  <cols>
    <col min="1" max="1" width="24.19921875" customWidth="1"/>
  </cols>
  <sheetData>
    <row r="1" spans="1:1" x14ac:dyDescent="0.45">
      <c r="A1" s="1" t="s">
        <v>12</v>
      </c>
    </row>
    <row r="2" spans="1:1" x14ac:dyDescent="0.45">
      <c r="A2" t="s">
        <v>13</v>
      </c>
    </row>
    <row r="3" spans="1:1" x14ac:dyDescent="0.45">
      <c r="A3" t="s">
        <v>14</v>
      </c>
    </row>
    <row r="4" spans="1:1" x14ac:dyDescent="0.45">
      <c r="A4" t="s">
        <v>15</v>
      </c>
    </row>
    <row r="5" spans="1:1" x14ac:dyDescent="0.45">
      <c r="A5" t="s">
        <v>16</v>
      </c>
    </row>
    <row r="6" spans="1:1" x14ac:dyDescent="0.45">
      <c r="A6" t="s">
        <v>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BC3F9-A2E6-4A0E-9E2E-12BB243BAFA6}">
  <sheetPr>
    <tabColor rgb="FF002060"/>
  </sheetPr>
  <dimension ref="A1:A4"/>
  <sheetViews>
    <sheetView workbookViewId="0"/>
  </sheetViews>
  <sheetFormatPr baseColWidth="10" defaultRowHeight="14.25" x14ac:dyDescent="0.45"/>
  <cols>
    <col min="1" max="1" width="34.59765625" customWidth="1"/>
  </cols>
  <sheetData>
    <row r="1" spans="1:1" x14ac:dyDescent="0.45">
      <c r="A1" s="1" t="s">
        <v>8</v>
      </c>
    </row>
    <row r="2" spans="1:1" x14ac:dyDescent="0.45">
      <c r="A2" t="s">
        <v>9</v>
      </c>
    </row>
    <row r="3" spans="1:1" x14ac:dyDescent="0.45">
      <c r="A3" t="s">
        <v>10</v>
      </c>
    </row>
    <row r="4" spans="1:1" x14ac:dyDescent="0.45">
      <c r="A4" t="s">
        <v>11</v>
      </c>
    </row>
  </sheetData>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39279-CB7C-4E94-B6A1-BB3AC60DD589}">
  <sheetPr>
    <tabColor rgb="FF002060"/>
  </sheetPr>
  <dimension ref="A1:G126"/>
  <sheetViews>
    <sheetView workbookViewId="0">
      <pane ySplit="1" topLeftCell="A2" activePane="bottomLeft" state="frozen"/>
      <selection pane="bottomLeft"/>
    </sheetView>
  </sheetViews>
  <sheetFormatPr baseColWidth="10" defaultRowHeight="14.25" x14ac:dyDescent="0.45"/>
  <cols>
    <col min="1" max="1" width="56.59765625" customWidth="1"/>
    <col min="2" max="7" width="10.9296875" style="13"/>
  </cols>
  <sheetData>
    <row r="1" spans="1:7" x14ac:dyDescent="0.45">
      <c r="A1" s="12" t="s">
        <v>78</v>
      </c>
      <c r="B1" s="12" t="s">
        <v>157</v>
      </c>
      <c r="C1" s="12" t="s">
        <v>161</v>
      </c>
      <c r="D1" s="12" t="s">
        <v>158</v>
      </c>
      <c r="E1" s="12" t="s">
        <v>160</v>
      </c>
      <c r="F1" s="12" t="s">
        <v>159</v>
      </c>
      <c r="G1" s="12" t="s">
        <v>162</v>
      </c>
    </row>
    <row r="2" spans="1:7" x14ac:dyDescent="0.45">
      <c r="A2" t="s">
        <v>67</v>
      </c>
      <c r="B2" s="13" t="s">
        <v>209</v>
      </c>
      <c r="D2" s="13" t="s">
        <v>209</v>
      </c>
      <c r="G2" s="13" t="s">
        <v>209</v>
      </c>
    </row>
    <row r="3" spans="1:7" x14ac:dyDescent="0.45">
      <c r="A3" t="s">
        <v>79</v>
      </c>
      <c r="B3" s="13" t="s">
        <v>209</v>
      </c>
      <c r="D3" s="13" t="s">
        <v>209</v>
      </c>
      <c r="G3" s="13" t="s">
        <v>209</v>
      </c>
    </row>
    <row r="4" spans="1:7" x14ac:dyDescent="0.45">
      <c r="A4" t="s">
        <v>80</v>
      </c>
      <c r="B4" s="13" t="s">
        <v>209</v>
      </c>
    </row>
    <row r="5" spans="1:7" x14ac:dyDescent="0.45">
      <c r="A5" t="s">
        <v>81</v>
      </c>
      <c r="B5" s="13" t="s">
        <v>209</v>
      </c>
    </row>
    <row r="6" spans="1:7" x14ac:dyDescent="0.45">
      <c r="A6" t="s">
        <v>82</v>
      </c>
      <c r="B6" s="13" t="s">
        <v>209</v>
      </c>
    </row>
    <row r="7" spans="1:7" x14ac:dyDescent="0.45">
      <c r="A7" t="s">
        <v>83</v>
      </c>
      <c r="B7" s="13" t="s">
        <v>209</v>
      </c>
    </row>
    <row r="8" spans="1:7" x14ac:dyDescent="0.45">
      <c r="A8" t="s">
        <v>84</v>
      </c>
      <c r="B8" s="13" t="s">
        <v>209</v>
      </c>
      <c r="C8" s="13" t="s">
        <v>209</v>
      </c>
    </row>
    <row r="9" spans="1:7" x14ac:dyDescent="0.45">
      <c r="A9" t="s">
        <v>85</v>
      </c>
      <c r="B9" s="13" t="s">
        <v>209</v>
      </c>
      <c r="C9" s="13" t="s">
        <v>209</v>
      </c>
    </row>
    <row r="10" spans="1:7" x14ac:dyDescent="0.45">
      <c r="A10" t="s">
        <v>87</v>
      </c>
      <c r="B10" s="13" t="s">
        <v>209</v>
      </c>
      <c r="C10" s="13" t="s">
        <v>209</v>
      </c>
      <c r="D10" s="13" t="s">
        <v>209</v>
      </c>
      <c r="E10" s="13" t="s">
        <v>209</v>
      </c>
      <c r="F10" s="13" t="s">
        <v>209</v>
      </c>
    </row>
    <row r="11" spans="1:7" x14ac:dyDescent="0.45">
      <c r="A11" t="s">
        <v>86</v>
      </c>
      <c r="B11" s="13" t="s">
        <v>209</v>
      </c>
      <c r="C11" s="13" t="s">
        <v>209</v>
      </c>
      <c r="D11" s="13" t="s">
        <v>209</v>
      </c>
      <c r="E11" s="13" t="s">
        <v>209</v>
      </c>
      <c r="F11" s="13" t="s">
        <v>209</v>
      </c>
    </row>
    <row r="12" spans="1:7" x14ac:dyDescent="0.45">
      <c r="A12" t="s">
        <v>88</v>
      </c>
      <c r="B12" s="13" t="s">
        <v>209</v>
      </c>
      <c r="C12" s="13" t="s">
        <v>209</v>
      </c>
      <c r="E12" s="13" t="s">
        <v>209</v>
      </c>
      <c r="F12" s="13" t="s">
        <v>209</v>
      </c>
    </row>
    <row r="13" spans="1:7" x14ac:dyDescent="0.45">
      <c r="A13" t="s">
        <v>89</v>
      </c>
      <c r="B13" s="13" t="s">
        <v>209</v>
      </c>
      <c r="C13" s="13" t="s">
        <v>209</v>
      </c>
      <c r="E13" s="13" t="s">
        <v>209</v>
      </c>
      <c r="F13" s="13" t="s">
        <v>209</v>
      </c>
    </row>
    <row r="14" spans="1:7" x14ac:dyDescent="0.45">
      <c r="A14" t="s">
        <v>90</v>
      </c>
      <c r="C14" s="13" t="s">
        <v>209</v>
      </c>
      <c r="F14" s="13" t="s">
        <v>209</v>
      </c>
    </row>
    <row r="15" spans="1:7" x14ac:dyDescent="0.45">
      <c r="A15" t="s">
        <v>91</v>
      </c>
      <c r="B15" s="13" t="s">
        <v>209</v>
      </c>
      <c r="C15" s="13" t="s">
        <v>209</v>
      </c>
      <c r="F15" s="13" t="s">
        <v>209</v>
      </c>
    </row>
    <row r="16" spans="1:7" x14ac:dyDescent="0.45">
      <c r="A16" t="s">
        <v>92</v>
      </c>
      <c r="C16" s="13" t="s">
        <v>209</v>
      </c>
      <c r="D16" s="13" t="s">
        <v>209</v>
      </c>
      <c r="F16" s="13" t="s">
        <v>209</v>
      </c>
    </row>
    <row r="17" spans="1:6" x14ac:dyDescent="0.45">
      <c r="A17" t="s">
        <v>93</v>
      </c>
      <c r="C17" s="13" t="s">
        <v>209</v>
      </c>
      <c r="D17" s="13" t="s">
        <v>209</v>
      </c>
      <c r="F17" s="13" t="s">
        <v>209</v>
      </c>
    </row>
    <row r="18" spans="1:6" x14ac:dyDescent="0.45">
      <c r="A18" t="s">
        <v>94</v>
      </c>
      <c r="C18" s="13" t="s">
        <v>209</v>
      </c>
      <c r="D18" s="13" t="s">
        <v>209</v>
      </c>
      <c r="F18" s="13" t="s">
        <v>209</v>
      </c>
    </row>
    <row r="19" spans="1:6" x14ac:dyDescent="0.45">
      <c r="A19" t="s">
        <v>95</v>
      </c>
      <c r="C19" s="13" t="s">
        <v>209</v>
      </c>
      <c r="F19" s="13" t="s">
        <v>209</v>
      </c>
    </row>
    <row r="20" spans="1:6" x14ac:dyDescent="0.45">
      <c r="A20" t="s">
        <v>96</v>
      </c>
      <c r="C20" s="13" t="s">
        <v>209</v>
      </c>
      <c r="D20" s="13" t="s">
        <v>209</v>
      </c>
      <c r="F20" s="13" t="s">
        <v>209</v>
      </c>
    </row>
    <row r="21" spans="1:6" x14ac:dyDescent="0.45">
      <c r="A21" t="s">
        <v>97</v>
      </c>
      <c r="C21" s="13" t="s">
        <v>209</v>
      </c>
      <c r="D21" s="13" t="s">
        <v>209</v>
      </c>
      <c r="F21" s="13" t="s">
        <v>209</v>
      </c>
    </row>
    <row r="22" spans="1:6" x14ac:dyDescent="0.45">
      <c r="A22" t="s">
        <v>98</v>
      </c>
      <c r="C22" s="13" t="s">
        <v>209</v>
      </c>
      <c r="D22" s="13" t="s">
        <v>209</v>
      </c>
      <c r="F22" s="13" t="s">
        <v>209</v>
      </c>
    </row>
    <row r="23" spans="1:6" x14ac:dyDescent="0.45">
      <c r="A23" t="s">
        <v>99</v>
      </c>
      <c r="B23" s="13" t="s">
        <v>209</v>
      </c>
      <c r="C23" s="13" t="s">
        <v>209</v>
      </c>
      <c r="D23" s="13" t="s">
        <v>209</v>
      </c>
    </row>
    <row r="24" spans="1:6" x14ac:dyDescent="0.45">
      <c r="A24" t="s">
        <v>100</v>
      </c>
      <c r="B24" s="13" t="s">
        <v>209</v>
      </c>
      <c r="C24" s="13" t="s">
        <v>209</v>
      </c>
      <c r="D24" s="13" t="s">
        <v>209</v>
      </c>
    </row>
    <row r="25" spans="1:6" x14ac:dyDescent="0.45">
      <c r="A25" t="s">
        <v>101</v>
      </c>
      <c r="B25" s="13" t="s">
        <v>209</v>
      </c>
      <c r="C25" s="13" t="s">
        <v>209</v>
      </c>
      <c r="D25" s="13" t="s">
        <v>209</v>
      </c>
    </row>
    <row r="26" spans="1:6" x14ac:dyDescent="0.45">
      <c r="A26" t="s">
        <v>102</v>
      </c>
      <c r="B26" s="13" t="s">
        <v>209</v>
      </c>
      <c r="C26" s="13" t="s">
        <v>209</v>
      </c>
      <c r="D26" s="13" t="s">
        <v>209</v>
      </c>
      <c r="F26" s="13" t="s">
        <v>209</v>
      </c>
    </row>
    <row r="27" spans="1:6" x14ac:dyDescent="0.45">
      <c r="A27" t="s">
        <v>103</v>
      </c>
      <c r="B27" s="13" t="s">
        <v>209</v>
      </c>
      <c r="E27" s="13" t="s">
        <v>209</v>
      </c>
      <c r="F27" s="13" t="s">
        <v>209</v>
      </c>
    </row>
    <row r="28" spans="1:6" x14ac:dyDescent="0.45">
      <c r="A28" t="s">
        <v>104</v>
      </c>
      <c r="B28" s="13" t="s">
        <v>209</v>
      </c>
      <c r="E28" s="13" t="s">
        <v>209</v>
      </c>
    </row>
    <row r="29" spans="1:6" x14ac:dyDescent="0.45">
      <c r="A29" t="s">
        <v>105</v>
      </c>
      <c r="B29" s="13" t="s">
        <v>209</v>
      </c>
    </row>
    <row r="30" spans="1:6" x14ac:dyDescent="0.45">
      <c r="A30" t="s">
        <v>106</v>
      </c>
      <c r="B30" s="13" t="s">
        <v>209</v>
      </c>
      <c r="C30" s="13" t="s">
        <v>209</v>
      </c>
      <c r="F30" s="13" t="s">
        <v>209</v>
      </c>
    </row>
    <row r="31" spans="1:6" x14ac:dyDescent="0.45">
      <c r="A31" t="s">
        <v>107</v>
      </c>
      <c r="B31" s="13" t="s">
        <v>209</v>
      </c>
      <c r="E31" s="13" t="s">
        <v>209</v>
      </c>
    </row>
    <row r="32" spans="1:6" x14ac:dyDescent="0.45">
      <c r="A32" t="s">
        <v>108</v>
      </c>
      <c r="B32" s="13" t="s">
        <v>209</v>
      </c>
      <c r="C32" s="13" t="s">
        <v>209</v>
      </c>
      <c r="F32" s="13" t="s">
        <v>209</v>
      </c>
    </row>
    <row r="33" spans="1:6" x14ac:dyDescent="0.45">
      <c r="A33" t="s">
        <v>109</v>
      </c>
      <c r="B33" s="13" t="s">
        <v>209</v>
      </c>
      <c r="C33" s="13" t="s">
        <v>209</v>
      </c>
      <c r="F33" s="13" t="s">
        <v>209</v>
      </c>
    </row>
    <row r="34" spans="1:6" x14ac:dyDescent="0.45">
      <c r="A34" t="s">
        <v>110</v>
      </c>
      <c r="B34" s="13" t="s">
        <v>209</v>
      </c>
      <c r="C34" s="13" t="s">
        <v>209</v>
      </c>
    </row>
    <row r="35" spans="1:6" x14ac:dyDescent="0.45">
      <c r="A35" t="s">
        <v>111</v>
      </c>
      <c r="B35" s="13" t="s">
        <v>209</v>
      </c>
      <c r="C35" s="13" t="s">
        <v>209</v>
      </c>
      <c r="E35" s="13" t="s">
        <v>209</v>
      </c>
      <c r="F35" s="13" t="s">
        <v>209</v>
      </c>
    </row>
    <row r="36" spans="1:6" x14ac:dyDescent="0.45">
      <c r="A36" t="s">
        <v>112</v>
      </c>
      <c r="C36" s="13" t="s">
        <v>209</v>
      </c>
      <c r="E36" s="13" t="s">
        <v>209</v>
      </c>
    </row>
    <row r="37" spans="1:6" x14ac:dyDescent="0.45">
      <c r="A37" t="s">
        <v>113</v>
      </c>
      <c r="C37" s="13" t="s">
        <v>209</v>
      </c>
      <c r="E37" s="13" t="s">
        <v>209</v>
      </c>
    </row>
    <row r="38" spans="1:6" x14ac:dyDescent="0.45">
      <c r="A38" t="s">
        <v>114</v>
      </c>
      <c r="C38" s="13" t="s">
        <v>209</v>
      </c>
      <c r="E38" s="13" t="s">
        <v>209</v>
      </c>
    </row>
    <row r="39" spans="1:6" x14ac:dyDescent="0.45">
      <c r="A39" t="s">
        <v>115</v>
      </c>
      <c r="C39" s="13" t="s">
        <v>209</v>
      </c>
      <c r="E39" s="13" t="s">
        <v>209</v>
      </c>
    </row>
    <row r="40" spans="1:6" x14ac:dyDescent="0.45">
      <c r="A40" t="s">
        <v>116</v>
      </c>
      <c r="C40" s="13" t="s">
        <v>209</v>
      </c>
      <c r="E40" s="13" t="s">
        <v>209</v>
      </c>
    </row>
    <row r="41" spans="1:6" x14ac:dyDescent="0.45">
      <c r="A41" t="s">
        <v>117</v>
      </c>
      <c r="B41" s="13" t="s">
        <v>209</v>
      </c>
    </row>
    <row r="42" spans="1:6" x14ac:dyDescent="0.45">
      <c r="A42" t="s">
        <v>118</v>
      </c>
      <c r="B42" s="13" t="s">
        <v>209</v>
      </c>
    </row>
    <row r="43" spans="1:6" x14ac:dyDescent="0.45">
      <c r="A43" t="s">
        <v>119</v>
      </c>
      <c r="B43" s="13" t="s">
        <v>209</v>
      </c>
    </row>
    <row r="44" spans="1:6" x14ac:dyDescent="0.45">
      <c r="A44" t="s">
        <v>120</v>
      </c>
      <c r="B44" s="13" t="s">
        <v>209</v>
      </c>
      <c r="C44" s="13" t="s">
        <v>209</v>
      </c>
      <c r="F44" s="13" t="s">
        <v>209</v>
      </c>
    </row>
    <row r="45" spans="1:6" x14ac:dyDescent="0.45">
      <c r="A45" t="s">
        <v>121</v>
      </c>
      <c r="B45" s="13" t="s">
        <v>209</v>
      </c>
    </row>
    <row r="46" spans="1:6" x14ac:dyDescent="0.45">
      <c r="A46" t="s">
        <v>122</v>
      </c>
      <c r="B46" s="13" t="s">
        <v>209</v>
      </c>
    </row>
    <row r="47" spans="1:6" x14ac:dyDescent="0.45">
      <c r="A47" t="s">
        <v>123</v>
      </c>
      <c r="B47" s="13" t="s">
        <v>209</v>
      </c>
    </row>
    <row r="48" spans="1:6" x14ac:dyDescent="0.45">
      <c r="A48" t="s">
        <v>124</v>
      </c>
      <c r="B48" s="13" t="s">
        <v>209</v>
      </c>
      <c r="C48" s="13" t="s">
        <v>209</v>
      </c>
    </row>
    <row r="49" spans="1:5" x14ac:dyDescent="0.45">
      <c r="A49" t="s">
        <v>125</v>
      </c>
      <c r="B49" s="13" t="s">
        <v>209</v>
      </c>
    </row>
    <row r="50" spans="1:5" x14ac:dyDescent="0.45">
      <c r="A50" t="s">
        <v>126</v>
      </c>
      <c r="C50" s="13" t="s">
        <v>209</v>
      </c>
      <c r="D50" s="13" t="s">
        <v>209</v>
      </c>
      <c r="E50" s="13" t="s">
        <v>209</v>
      </c>
    </row>
    <row r="51" spans="1:5" x14ac:dyDescent="0.45">
      <c r="A51" t="s">
        <v>127</v>
      </c>
      <c r="B51" s="13" t="s">
        <v>209</v>
      </c>
      <c r="E51" s="13" t="s">
        <v>209</v>
      </c>
    </row>
    <row r="52" spans="1:5" x14ac:dyDescent="0.45">
      <c r="A52" t="s">
        <v>128</v>
      </c>
      <c r="C52" s="13" t="s">
        <v>209</v>
      </c>
      <c r="D52" s="13" t="s">
        <v>209</v>
      </c>
    </row>
    <row r="53" spans="1:5" x14ac:dyDescent="0.45">
      <c r="A53" t="s">
        <v>129</v>
      </c>
      <c r="D53" s="13" t="s">
        <v>209</v>
      </c>
    </row>
    <row r="54" spans="1:5" x14ac:dyDescent="0.45">
      <c r="A54" t="s">
        <v>130</v>
      </c>
      <c r="D54" s="13" t="s">
        <v>209</v>
      </c>
    </row>
    <row r="55" spans="1:5" x14ac:dyDescent="0.45">
      <c r="A55" t="s">
        <v>131</v>
      </c>
      <c r="D55" s="13" t="s">
        <v>209</v>
      </c>
    </row>
    <row r="56" spans="1:5" x14ac:dyDescent="0.45">
      <c r="A56" t="s">
        <v>132</v>
      </c>
      <c r="D56" s="13" t="s">
        <v>209</v>
      </c>
    </row>
    <row r="57" spans="1:5" x14ac:dyDescent="0.45">
      <c r="A57" t="s">
        <v>133</v>
      </c>
      <c r="B57" s="13" t="s">
        <v>209</v>
      </c>
    </row>
    <row r="58" spans="1:5" x14ac:dyDescent="0.45">
      <c r="A58" t="s">
        <v>134</v>
      </c>
      <c r="B58" s="13" t="s">
        <v>209</v>
      </c>
    </row>
    <row r="59" spans="1:5" x14ac:dyDescent="0.45">
      <c r="A59" t="s">
        <v>135</v>
      </c>
      <c r="B59" s="13" t="s">
        <v>209</v>
      </c>
    </row>
    <row r="60" spans="1:5" x14ac:dyDescent="0.45">
      <c r="A60" t="s">
        <v>136</v>
      </c>
      <c r="B60" s="13" t="s">
        <v>209</v>
      </c>
    </row>
    <row r="61" spans="1:5" x14ac:dyDescent="0.45">
      <c r="A61" t="s">
        <v>137</v>
      </c>
      <c r="B61" s="13" t="s">
        <v>209</v>
      </c>
    </row>
    <row r="62" spans="1:5" x14ac:dyDescent="0.45">
      <c r="A62" t="s">
        <v>138</v>
      </c>
      <c r="B62" s="13" t="s">
        <v>209</v>
      </c>
      <c r="C62" s="13" t="s">
        <v>209</v>
      </c>
    </row>
    <row r="63" spans="1:5" x14ac:dyDescent="0.45">
      <c r="A63" t="s">
        <v>139</v>
      </c>
      <c r="B63" s="13" t="s">
        <v>209</v>
      </c>
      <c r="D63" s="13" t="s">
        <v>209</v>
      </c>
    </row>
    <row r="64" spans="1:5" x14ac:dyDescent="0.45">
      <c r="A64" t="s">
        <v>140</v>
      </c>
      <c r="B64" s="13" t="s">
        <v>209</v>
      </c>
      <c r="D64" s="13" t="s">
        <v>209</v>
      </c>
    </row>
    <row r="65" spans="1:6" x14ac:dyDescent="0.45">
      <c r="A65" t="s">
        <v>141</v>
      </c>
      <c r="B65" s="13" t="s">
        <v>209</v>
      </c>
    </row>
    <row r="66" spans="1:6" x14ac:dyDescent="0.45">
      <c r="A66" t="s">
        <v>142</v>
      </c>
      <c r="B66" s="13" t="s">
        <v>209</v>
      </c>
    </row>
    <row r="67" spans="1:6" x14ac:dyDescent="0.45">
      <c r="A67" t="s">
        <v>143</v>
      </c>
      <c r="B67" s="13" t="s">
        <v>209</v>
      </c>
      <c r="E67" s="13" t="s">
        <v>209</v>
      </c>
      <c r="F67" s="13" t="s">
        <v>209</v>
      </c>
    </row>
    <row r="68" spans="1:6" x14ac:dyDescent="0.45">
      <c r="A68" t="s">
        <v>144</v>
      </c>
      <c r="B68" s="13" t="s">
        <v>209</v>
      </c>
    </row>
    <row r="69" spans="1:6" x14ac:dyDescent="0.45">
      <c r="A69" t="s">
        <v>145</v>
      </c>
      <c r="B69" s="13" t="s">
        <v>209</v>
      </c>
      <c r="C69" s="13" t="s">
        <v>209</v>
      </c>
      <c r="E69" s="13" t="s">
        <v>209</v>
      </c>
    </row>
    <row r="70" spans="1:6" x14ac:dyDescent="0.45">
      <c r="A70" t="s">
        <v>146</v>
      </c>
      <c r="B70" s="13" t="s">
        <v>209</v>
      </c>
      <c r="C70" s="13" t="s">
        <v>209</v>
      </c>
      <c r="D70" s="13" t="s">
        <v>209</v>
      </c>
      <c r="E70" s="13" t="s">
        <v>209</v>
      </c>
      <c r="F70" s="13" t="s">
        <v>209</v>
      </c>
    </row>
    <row r="71" spans="1:6" x14ac:dyDescent="0.45">
      <c r="A71" t="s">
        <v>147</v>
      </c>
      <c r="B71" s="13" t="s">
        <v>209</v>
      </c>
    </row>
    <row r="72" spans="1:6" x14ac:dyDescent="0.45">
      <c r="A72" t="s">
        <v>148</v>
      </c>
      <c r="B72" s="13" t="s">
        <v>209</v>
      </c>
    </row>
    <row r="73" spans="1:6" x14ac:dyDescent="0.45">
      <c r="A73" t="s">
        <v>149</v>
      </c>
      <c r="C73" s="13" t="s">
        <v>209</v>
      </c>
      <c r="E73" s="13" t="s">
        <v>209</v>
      </c>
      <c r="F73" s="13" t="s">
        <v>209</v>
      </c>
    </row>
    <row r="74" spans="1:6" x14ac:dyDescent="0.45">
      <c r="A74" t="s">
        <v>150</v>
      </c>
      <c r="C74" s="13" t="s">
        <v>209</v>
      </c>
      <c r="F74" s="13" t="s">
        <v>209</v>
      </c>
    </row>
    <row r="75" spans="1:6" x14ac:dyDescent="0.45">
      <c r="A75" t="s">
        <v>151</v>
      </c>
      <c r="C75" s="13" t="s">
        <v>209</v>
      </c>
      <c r="F75" s="13" t="s">
        <v>209</v>
      </c>
    </row>
    <row r="76" spans="1:6" x14ac:dyDescent="0.45">
      <c r="A76" t="s">
        <v>152</v>
      </c>
      <c r="C76" s="13" t="s">
        <v>209</v>
      </c>
      <c r="F76" s="13" t="s">
        <v>209</v>
      </c>
    </row>
    <row r="77" spans="1:6" x14ac:dyDescent="0.45">
      <c r="A77" t="s">
        <v>153</v>
      </c>
      <c r="B77" s="13" t="s">
        <v>209</v>
      </c>
      <c r="C77" s="13" t="s">
        <v>209</v>
      </c>
      <c r="E77" s="13" t="s">
        <v>209</v>
      </c>
    </row>
    <row r="78" spans="1:6" x14ac:dyDescent="0.45">
      <c r="A78" t="s">
        <v>155</v>
      </c>
      <c r="B78" s="13" t="s">
        <v>209</v>
      </c>
    </row>
    <row r="79" spans="1:6" x14ac:dyDescent="0.45">
      <c r="A79" t="s">
        <v>154</v>
      </c>
      <c r="B79" s="13" t="s">
        <v>209</v>
      </c>
    </row>
    <row r="80" spans="1:6" x14ac:dyDescent="0.45">
      <c r="A80" t="s">
        <v>156</v>
      </c>
      <c r="B80" s="13" t="s">
        <v>209</v>
      </c>
    </row>
    <row r="81" spans="1:6" x14ac:dyDescent="0.45">
      <c r="A81" t="s">
        <v>163</v>
      </c>
      <c r="B81" s="13" t="s">
        <v>209</v>
      </c>
      <c r="E81" s="13" t="s">
        <v>209</v>
      </c>
    </row>
    <row r="82" spans="1:6" x14ac:dyDescent="0.45">
      <c r="A82" t="s">
        <v>164</v>
      </c>
      <c r="B82" s="13" t="s">
        <v>209</v>
      </c>
    </row>
    <row r="83" spans="1:6" x14ac:dyDescent="0.45">
      <c r="A83" t="s">
        <v>165</v>
      </c>
      <c r="B83" s="13" t="s">
        <v>209</v>
      </c>
    </row>
    <row r="84" spans="1:6" x14ac:dyDescent="0.45">
      <c r="A84" t="s">
        <v>166</v>
      </c>
      <c r="B84" s="13" t="s">
        <v>209</v>
      </c>
    </row>
    <row r="85" spans="1:6" x14ac:dyDescent="0.45">
      <c r="A85" t="s">
        <v>168</v>
      </c>
      <c r="B85" s="13" t="s">
        <v>209</v>
      </c>
      <c r="C85" s="13" t="s">
        <v>209</v>
      </c>
      <c r="D85" s="13" t="s">
        <v>209</v>
      </c>
      <c r="E85" s="13" t="s">
        <v>209</v>
      </c>
      <c r="F85" s="13" t="s">
        <v>209</v>
      </c>
    </row>
    <row r="86" spans="1:6" x14ac:dyDescent="0.45">
      <c r="A86" t="s">
        <v>167</v>
      </c>
      <c r="B86" s="13" t="s">
        <v>209</v>
      </c>
      <c r="D86" s="13" t="s">
        <v>209</v>
      </c>
    </row>
    <row r="87" spans="1:6" x14ac:dyDescent="0.45">
      <c r="A87" t="s">
        <v>169</v>
      </c>
      <c r="B87" s="13" t="s">
        <v>209</v>
      </c>
      <c r="C87" s="13" t="s">
        <v>209</v>
      </c>
    </row>
    <row r="88" spans="1:6" x14ac:dyDescent="0.45">
      <c r="A88" t="s">
        <v>170</v>
      </c>
      <c r="B88" s="13" t="s">
        <v>209</v>
      </c>
      <c r="C88" s="13" t="s">
        <v>209</v>
      </c>
    </row>
    <row r="89" spans="1:6" x14ac:dyDescent="0.45">
      <c r="A89" t="s">
        <v>171</v>
      </c>
      <c r="C89" s="13" t="s">
        <v>209</v>
      </c>
      <c r="D89" s="13" t="s">
        <v>209</v>
      </c>
      <c r="E89" s="13" t="s">
        <v>209</v>
      </c>
    </row>
    <row r="90" spans="1:6" x14ac:dyDescent="0.45">
      <c r="A90" t="s">
        <v>172</v>
      </c>
      <c r="D90" s="13" t="s">
        <v>209</v>
      </c>
    </row>
    <row r="91" spans="1:6" x14ac:dyDescent="0.45">
      <c r="A91" t="s">
        <v>173</v>
      </c>
      <c r="D91" s="13" t="s">
        <v>209</v>
      </c>
    </row>
    <row r="92" spans="1:6" x14ac:dyDescent="0.45">
      <c r="A92" t="s">
        <v>174</v>
      </c>
      <c r="B92" s="13" t="s">
        <v>209</v>
      </c>
    </row>
    <row r="93" spans="1:6" x14ac:dyDescent="0.45">
      <c r="A93" t="s">
        <v>175</v>
      </c>
      <c r="D93" s="13" t="s">
        <v>209</v>
      </c>
    </row>
    <row r="94" spans="1:6" x14ac:dyDescent="0.45">
      <c r="A94" t="s">
        <v>176</v>
      </c>
      <c r="D94" s="13" t="s">
        <v>209</v>
      </c>
    </row>
    <row r="95" spans="1:6" x14ac:dyDescent="0.45">
      <c r="A95" t="s">
        <v>177</v>
      </c>
      <c r="D95" s="13" t="s">
        <v>209</v>
      </c>
    </row>
    <row r="96" spans="1:6" x14ac:dyDescent="0.45">
      <c r="A96" t="s">
        <v>178</v>
      </c>
      <c r="D96" s="13" t="s">
        <v>209</v>
      </c>
    </row>
    <row r="97" spans="1:5" x14ac:dyDescent="0.45">
      <c r="A97" t="s">
        <v>179</v>
      </c>
      <c r="D97" s="13" t="s">
        <v>209</v>
      </c>
    </row>
    <row r="98" spans="1:5" x14ac:dyDescent="0.45">
      <c r="A98" t="s">
        <v>182</v>
      </c>
      <c r="B98" s="13" t="s">
        <v>209</v>
      </c>
    </row>
    <row r="99" spans="1:5" x14ac:dyDescent="0.45">
      <c r="A99" t="s">
        <v>180</v>
      </c>
      <c r="B99" s="13" t="s">
        <v>209</v>
      </c>
    </row>
    <row r="100" spans="1:5" x14ac:dyDescent="0.45">
      <c r="A100" t="s">
        <v>181</v>
      </c>
      <c r="B100" s="13" t="s">
        <v>209</v>
      </c>
    </row>
    <row r="101" spans="1:5" x14ac:dyDescent="0.45">
      <c r="A101" t="s">
        <v>183</v>
      </c>
      <c r="B101" s="13" t="s">
        <v>209</v>
      </c>
    </row>
    <row r="102" spans="1:5" x14ac:dyDescent="0.45">
      <c r="A102" t="s">
        <v>184</v>
      </c>
      <c r="B102" s="13" t="s">
        <v>209</v>
      </c>
    </row>
    <row r="103" spans="1:5" x14ac:dyDescent="0.45">
      <c r="A103" t="s">
        <v>185</v>
      </c>
      <c r="B103" s="13" t="s">
        <v>209</v>
      </c>
    </row>
    <row r="104" spans="1:5" x14ac:dyDescent="0.45">
      <c r="A104" t="s">
        <v>186</v>
      </c>
      <c r="B104" s="13" t="s">
        <v>209</v>
      </c>
    </row>
    <row r="105" spans="1:5" x14ac:dyDescent="0.45">
      <c r="A105" t="s">
        <v>187</v>
      </c>
      <c r="B105" s="13" t="s">
        <v>209</v>
      </c>
      <c r="E105" s="13" t="s">
        <v>209</v>
      </c>
    </row>
    <row r="106" spans="1:5" x14ac:dyDescent="0.45">
      <c r="A106" t="s">
        <v>188</v>
      </c>
      <c r="B106" s="13" t="s">
        <v>209</v>
      </c>
    </row>
    <row r="107" spans="1:5" x14ac:dyDescent="0.45">
      <c r="A107" t="s">
        <v>189</v>
      </c>
      <c r="B107" s="13" t="s">
        <v>209</v>
      </c>
      <c r="E107" s="13" t="s">
        <v>209</v>
      </c>
    </row>
    <row r="108" spans="1:5" x14ac:dyDescent="0.45">
      <c r="A108" t="s">
        <v>190</v>
      </c>
      <c r="B108" s="13" t="s">
        <v>209</v>
      </c>
      <c r="C108" s="13" t="s">
        <v>209</v>
      </c>
    </row>
    <row r="109" spans="1:5" x14ac:dyDescent="0.45">
      <c r="A109" t="s">
        <v>191</v>
      </c>
      <c r="B109" s="13" t="s">
        <v>209</v>
      </c>
    </row>
    <row r="110" spans="1:5" x14ac:dyDescent="0.45">
      <c r="A110" t="s">
        <v>192</v>
      </c>
      <c r="B110" s="13" t="s">
        <v>209</v>
      </c>
      <c r="C110" s="13" t="s">
        <v>209</v>
      </c>
    </row>
    <row r="111" spans="1:5" x14ac:dyDescent="0.45">
      <c r="A111" t="s">
        <v>193</v>
      </c>
      <c r="B111" s="13" t="s">
        <v>209</v>
      </c>
      <c r="C111" s="13" t="s">
        <v>209</v>
      </c>
    </row>
    <row r="112" spans="1:5" x14ac:dyDescent="0.45">
      <c r="A112" t="s">
        <v>194</v>
      </c>
      <c r="B112" s="13" t="s">
        <v>209</v>
      </c>
    </row>
    <row r="113" spans="1:7" x14ac:dyDescent="0.45">
      <c r="A113" t="s">
        <v>195</v>
      </c>
      <c r="D113" s="13" t="s">
        <v>209</v>
      </c>
    </row>
    <row r="114" spans="1:7" x14ac:dyDescent="0.45">
      <c r="A114" t="s">
        <v>196</v>
      </c>
      <c r="D114" s="13" t="s">
        <v>209</v>
      </c>
    </row>
    <row r="115" spans="1:7" x14ac:dyDescent="0.45">
      <c r="A115" t="s">
        <v>197</v>
      </c>
      <c r="D115" s="13" t="s">
        <v>209</v>
      </c>
    </row>
    <row r="116" spans="1:7" x14ac:dyDescent="0.45">
      <c r="A116" t="s">
        <v>198</v>
      </c>
      <c r="B116" s="13" t="s">
        <v>209</v>
      </c>
      <c r="D116" s="13" t="s">
        <v>209</v>
      </c>
      <c r="E116" s="13" t="s">
        <v>209</v>
      </c>
    </row>
    <row r="117" spans="1:7" x14ac:dyDescent="0.45">
      <c r="A117" t="s">
        <v>199</v>
      </c>
      <c r="E117" s="13" t="s">
        <v>209</v>
      </c>
      <c r="F117" s="13" t="s">
        <v>209</v>
      </c>
    </row>
    <row r="118" spans="1:7" x14ac:dyDescent="0.45">
      <c r="A118" t="s">
        <v>200</v>
      </c>
      <c r="B118" s="13" t="s">
        <v>209</v>
      </c>
    </row>
    <row r="119" spans="1:7" x14ac:dyDescent="0.45">
      <c r="A119" t="s">
        <v>201</v>
      </c>
      <c r="B119" s="13" t="s">
        <v>209</v>
      </c>
      <c r="D119" s="13" t="s">
        <v>209</v>
      </c>
      <c r="E119" s="13" t="s">
        <v>209</v>
      </c>
    </row>
    <row r="120" spans="1:7" x14ac:dyDescent="0.45">
      <c r="A120" t="s">
        <v>202</v>
      </c>
      <c r="B120" s="13" t="s">
        <v>209</v>
      </c>
    </row>
    <row r="121" spans="1:7" x14ac:dyDescent="0.45">
      <c r="A121" t="s">
        <v>203</v>
      </c>
      <c r="B121" s="13" t="s">
        <v>209</v>
      </c>
    </row>
    <row r="122" spans="1:7" x14ac:dyDescent="0.45">
      <c r="A122" t="s">
        <v>204</v>
      </c>
      <c r="B122" s="13" t="s">
        <v>209</v>
      </c>
      <c r="C122" s="13" t="s">
        <v>209</v>
      </c>
    </row>
    <row r="123" spans="1:7" x14ac:dyDescent="0.45">
      <c r="A123" t="s">
        <v>205</v>
      </c>
      <c r="B123" s="13" t="s">
        <v>209</v>
      </c>
    </row>
    <row r="124" spans="1:7" x14ac:dyDescent="0.45">
      <c r="A124" t="s">
        <v>206</v>
      </c>
      <c r="B124" s="13" t="s">
        <v>209</v>
      </c>
      <c r="E124" s="13" t="s">
        <v>209</v>
      </c>
      <c r="F124" s="13" t="s">
        <v>209</v>
      </c>
      <c r="G124" s="13" t="s">
        <v>209</v>
      </c>
    </row>
    <row r="125" spans="1:7" x14ac:dyDescent="0.45">
      <c r="A125" t="s">
        <v>207</v>
      </c>
      <c r="B125" s="13" t="s">
        <v>209</v>
      </c>
      <c r="C125" s="13" t="s">
        <v>209</v>
      </c>
      <c r="E125" s="13" t="s">
        <v>209</v>
      </c>
    </row>
    <row r="126" spans="1:7" x14ac:dyDescent="0.45">
      <c r="A126" t="s">
        <v>208</v>
      </c>
      <c r="B126" s="13" t="s">
        <v>209</v>
      </c>
      <c r="C126" s="13" t="s">
        <v>209</v>
      </c>
      <c r="E126" s="13" t="s">
        <v>209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E3434C6CEC5884B84DB3F1EE2AE6A08" ma:contentTypeVersion="3" ma:contentTypeDescription="Crée un document." ma:contentTypeScope="" ma:versionID="4ce0fd68acf3dada1f080906048f89a6">
  <xsd:schema xmlns:xsd="http://www.w3.org/2001/XMLSchema" xmlns:xs="http://www.w3.org/2001/XMLSchema" xmlns:p="http://schemas.microsoft.com/office/2006/metadata/properties" xmlns:ns2="c3db16cc-be90-46e9-873d-78c53b8aaa0e" targetNamespace="http://schemas.microsoft.com/office/2006/metadata/properties" ma:root="true" ma:fieldsID="ca06e4ed0f2483a27406dc319969257d" ns2:_="">
    <xsd:import namespace="c3db16cc-be90-46e9-873d-78c53b8aaa0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db16cc-be90-46e9-873d-78c53b8aaa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4A5F1B4-0D78-4582-987B-ABDDB664E1AC}"/>
</file>

<file path=customXml/itemProps2.xml><?xml version="1.0" encoding="utf-8"?>
<ds:datastoreItem xmlns:ds="http://schemas.openxmlformats.org/officeDocument/2006/customXml" ds:itemID="{9CC40BB2-1CD1-4EF3-AF32-5E4FC21E0EBA}"/>
</file>

<file path=customXml/itemProps3.xml><?xml version="1.0" encoding="utf-8"?>
<ds:datastoreItem xmlns:ds="http://schemas.openxmlformats.org/officeDocument/2006/customXml" ds:itemID="{80682DF2-989E-413D-B59D-FBCBD058B6A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Risques recencés par danger</vt:lpstr>
      <vt:lpstr>Grille de prévention</vt:lpstr>
      <vt:lpstr>PGP  PAA</vt:lpstr>
      <vt:lpstr>ASAP</vt:lpstr>
      <vt:lpstr>I&amp;ER</vt:lpstr>
      <vt:lpstr>Userguide</vt:lpstr>
      <vt:lpstr>Kinney Risque =</vt:lpstr>
      <vt:lpstr>Kinney Gravité x </vt:lpstr>
      <vt:lpstr>Probabilte x </vt:lpstr>
      <vt:lpstr>Exposition</vt:lpstr>
      <vt:lpstr>Acteurs</vt:lpstr>
      <vt:lpstr>Niveau prevention</vt:lpstr>
      <vt:lpstr>Dangers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olivier compere</dc:creator>
  <cp:lastModifiedBy>olivier compere</cp:lastModifiedBy>
  <dcterms:created xsi:type="dcterms:W3CDTF">2023-02-13T19:45:57Z</dcterms:created>
  <dcterms:modified xsi:type="dcterms:W3CDTF">2026-02-02T13:39:45Z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0x010100FE3434C6CEC5884B84DB3F1EE2AE6A08</vt:lpwstr>
  </property>
</Properties>
</file>